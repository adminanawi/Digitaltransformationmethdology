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40141ae184d7707/CLIENT - GENESIS/CLIENT - DPSA/GWEA/BUILDING PEAR/DEPARTMENT OF HUMAN SETTLEMENTS EXAMPLE/TEST2-VISUALISATION/training/"/>
    </mc:Choice>
  </mc:AlternateContent>
  <xr:revisionPtr revIDLastSave="0" documentId="8_{8DAE207B-1C5E-4ACC-B284-E3283CBD0E73}" xr6:coauthVersionLast="47" xr6:coauthVersionMax="47" xr10:uidLastSave="{00000000-0000-0000-0000-000000000000}"/>
  <bookViews>
    <workbookView xWindow="47136" yWindow="1104" windowWidth="23232" windowHeight="20004" tabRatio="500" firstSheet="1" activeTab="3" xr2:uid="{00000000-000D-0000-FFFF-FFFF00000000}"/>
  </bookViews>
  <sheets>
    <sheet name="Cover &amp; Profile" sheetId="1" r:id="rId1"/>
    <sheet name="Questionnaire" sheetId="2" r:id="rId2"/>
    <sheet name="Scorecard" sheetId="3" r:id="rId3"/>
    <sheet name="Maturity Level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1" l="1"/>
  <c r="E15" i="1"/>
  <c r="J20" i="3"/>
  <c r="J19" i="3"/>
  <c r="J18" i="3"/>
  <c r="J17" i="3"/>
  <c r="J16" i="3"/>
  <c r="D12" i="3"/>
  <c r="G12" i="3" s="1"/>
  <c r="G11" i="3"/>
  <c r="D11" i="3"/>
  <c r="F11" i="3" s="1"/>
  <c r="D10" i="3"/>
  <c r="G10" i="3" s="1"/>
  <c r="D9" i="3"/>
  <c r="G9" i="3" s="1"/>
  <c r="D8" i="3"/>
  <c r="G8" i="3" s="1"/>
  <c r="D7" i="3"/>
  <c r="G7" i="3" s="1"/>
  <c r="D6" i="3"/>
  <c r="G6" i="3" s="1"/>
  <c r="F10" i="3" l="1"/>
  <c r="F6" i="3"/>
  <c r="J21" i="3"/>
  <c r="F7" i="3"/>
  <c r="F9" i="3"/>
  <c r="F8" i="3"/>
</calcChain>
</file>

<file path=xl/sharedStrings.xml><?xml version="1.0" encoding="utf-8"?>
<sst xmlns="http://schemas.openxmlformats.org/spreadsheetml/2006/main" count="330" uniqueCount="318">
  <si>
    <t>GWEA 2.0  |  Enterprise Architecture Maturity Assessment</t>
  </si>
  <si>
    <t>Departmental Maturity Questionnaire</t>
  </si>
  <si>
    <t>Interview Details</t>
  </si>
  <si>
    <t>Government organisation (interviewed)</t>
  </si>
  <si>
    <t>Sector / cluster</t>
  </si>
  <si>
    <t>Respondent name &amp; role</t>
  </si>
  <si>
    <t>DPSA interviewer</t>
  </si>
  <si>
    <t>Interview date</t>
  </si>
  <si>
    <t>Technology Landscape Profile  (descriptive — informs Dimension 6, not scored directly)</t>
  </si>
  <si>
    <t>Measure</t>
  </si>
  <si>
    <t>Count / value</t>
  </si>
  <si>
    <t>Applications serving internal users</t>
  </si>
  <si>
    <t>Derived ratios →</t>
  </si>
  <si>
    <t>Applications serving external citizens / businesses</t>
  </si>
  <si>
    <t>External services automated</t>
  </si>
  <si>
    <t>Total client-facing (external) services offered</t>
  </si>
  <si>
    <t>Internal services automated</t>
  </si>
  <si>
    <t>Of which automated (external services automated)</t>
  </si>
  <si>
    <t>Total internal services offered</t>
  </si>
  <si>
    <t>Of which automated (internal services automated)</t>
  </si>
  <si>
    <t>Blue cells are inputs. Complete the profile and the Interview Details, then capture a 0–5 score per question on the Questionnaire sheet. The Scorecard updates automatically.</t>
  </si>
  <si>
    <t>Owner: Government Chief Information Officer, Office of the GCIO, DPSA</t>
  </si>
  <si>
    <t>Scribe: Enterprise Architect, Digital Services Unit, Office of the Presidency</t>
  </si>
  <si>
    <t>Maturity Questionnaire — score each item 0 to 5</t>
  </si>
  <si>
    <t>0 Non-existent  ·  1 Initial (ad-hoc)  ·  2 Repeatable (inconsistent)  ·  3 Defined (FAIR — target)  ·  4 Managed (good)  ·  5 Optimised (excellent)</t>
  </si>
  <si>
    <t>ID</t>
  </si>
  <si>
    <t>Question</t>
  </si>
  <si>
    <t>0 — Non-existent</t>
  </si>
  <si>
    <t>1 — Initial</t>
  </si>
  <si>
    <t>2 — Repeatable</t>
  </si>
  <si>
    <t>3 — Defined (target)</t>
  </si>
  <si>
    <t>4 — Managed</t>
  </si>
  <si>
    <t>5 — Optimised</t>
  </si>
  <si>
    <t>Score</t>
  </si>
  <si>
    <t>Evidence / notes</t>
  </si>
  <si>
    <t>1.1</t>
  </si>
  <si>
    <t>A dedicated enterprise architect or EA capability exists in the organisation.</t>
  </si>
  <si>
    <t>No EA role; nobody accountable for architecture.</t>
  </si>
  <si>
    <t>Architecture done occasionally by an individual when needed.</t>
  </si>
  <si>
    <t>Informal EA responsibility assigned but part-time or unclear.</t>
  </si>
  <si>
    <t>Designated EA role(s) with a defined mandate and reporting line.</t>
  </si>
  <si>
    <t>Established EA function with adequate capacity and clear accountability.</t>
  </si>
  <si>
    <t>Resourced EA team, career path, continuous skills development.</t>
  </si>
  <si>
    <t>1.2</t>
  </si>
  <si>
    <t>A documented EA process aligned to the TOGAF ADM is in place.</t>
  </si>
  <si>
    <t>No documented process.</t>
  </si>
  <si>
    <t>Architecture done ad-hoc with no defined method.</t>
  </si>
  <si>
    <t>Some steps followed inconsistently and not fully documented.</t>
  </si>
  <si>
    <t>ADM-aligned process documented and approved.</t>
  </si>
  <si>
    <t>Process consistently followed and managed across initiatives.</t>
  </si>
  <si>
    <t>Process tailored, version-controlled and continuously improved.</t>
  </si>
  <si>
    <t>1.3</t>
  </si>
  <si>
    <t>The EA process is actively used to guide change, not just documented.</t>
  </si>
  <si>
    <t>Never applied in practice.</t>
  </si>
  <si>
    <t>Used once or sporadically on isolated efforts.</t>
  </si>
  <si>
    <t>Applied on some projects but inconsistently.</t>
  </si>
  <si>
    <t>Applied on most significant initiatives.</t>
  </si>
  <si>
    <t>Consistently applied and monitored for compliance.</t>
  </si>
  <si>
    <t>Applied consistently; embedded in all change and planning.</t>
  </si>
  <si>
    <t>1.4</t>
  </si>
  <si>
    <t>New technology solutions are motivated through architecture rather than ad-hoc directive.</t>
  </si>
  <si>
    <t>Solutions driven solely by management directive / advocacy.</t>
  </si>
  <si>
    <t>Occasional architecture input, usually after decisions are taken.</t>
  </si>
  <si>
    <t>Architecture consulted on some solutions but not required.</t>
  </si>
  <si>
    <t>Major solutions require an architecture motivation.</t>
  </si>
  <si>
    <t>Architecture motivation enforced for all significant investment.</t>
  </si>
  <si>
    <t>All investment gated by architecture-based business case.</t>
  </si>
  <si>
    <t>1.5</t>
  </si>
  <si>
    <t>EA competency and method knowledge (TOGAF / ArchiMate) is sustained in-house.</t>
  </si>
  <si>
    <t>No internal EA skills.</t>
  </si>
  <si>
    <t>Reliance on individual, self-taught knowledge.</t>
  </si>
  <si>
    <t>Some informal training; skills not actively maintained.</t>
  </si>
  <si>
    <t>Core team trained and certified in the method.</t>
  </si>
  <si>
    <t>Structured skills programme keeps competencies current.</t>
  </si>
  <si>
    <t>Deep bench, mentoring, recognised centre of practice.</t>
  </si>
  <si>
    <t>2.1</t>
  </si>
  <si>
    <t>An EA exercise (by SITA, a private firm, or in-house) has been conducted.</t>
  </si>
  <si>
    <t>No EA exercise ever undertaken.</t>
  </si>
  <si>
    <t>Partial, once-off effort on a single domain.</t>
  </si>
  <si>
    <t>An exercise attempted but incomplete or now outdated.</t>
  </si>
  <si>
    <t>EA exercise completed covering the core domains.</t>
  </si>
  <si>
    <t>EA refreshed on a planned, recurring basis.</t>
  </si>
  <si>
    <t>EA maintained as a living, regularly refreshed practice.</t>
  </si>
  <si>
    <t>2.2</t>
  </si>
  <si>
    <t>The most recent EA exercise is current.</t>
  </si>
  <si>
    <t>None, or older than 5 years.</t>
  </si>
  <si>
    <t>Last exercise 4–5 years old.</t>
  </si>
  <si>
    <t>Last exercise 3–4 years old.</t>
  </si>
  <si>
    <t>Completed within the last 2–3 years.</t>
  </si>
  <si>
    <t>Reviewed or updated within the last 12–24 months.</t>
  </si>
  <si>
    <t>Continuously maintained / refreshed within 12 months.</t>
  </si>
  <si>
    <t>2.3</t>
  </si>
  <si>
    <t>An implementation roadmap was produced from the architecture.</t>
  </si>
  <si>
    <t>No roadmap produced.</t>
  </si>
  <si>
    <t>High-level intentions only, not structured.</t>
  </si>
  <si>
    <t>Partial roadmap covering some areas.</t>
  </si>
  <si>
    <t>Roadmap with sequenced work packages exists.</t>
  </si>
  <si>
    <t>Roadmap costed and resourced.</t>
  </si>
  <si>
    <t>Roadmap costed, prioritised and integrated with planning.</t>
  </si>
  <si>
    <t>2.4</t>
  </si>
  <si>
    <t>The implementation roadmap is being executed and tracked.</t>
  </si>
  <si>
    <t>Roadmap shelved / not started.</t>
  </si>
  <si>
    <t>Isolated actions taken but not tracked.</t>
  </si>
  <si>
    <t>Some delivery with no consistent tracking.</t>
  </si>
  <si>
    <t>Roadmap partly delivered with progress tracked.</t>
  </si>
  <si>
    <t>Delivered on schedule with active governance.</t>
  </si>
  <si>
    <t>Roadmap delivered and governed against measurable outcomes.</t>
  </si>
  <si>
    <t>3.1</t>
  </si>
  <si>
    <t>An architecture repository is in place.</t>
  </si>
  <si>
    <t>No repository.</t>
  </si>
  <si>
    <t>Artefacts kept ad-hoc on personal drives.</t>
  </si>
  <si>
    <t>Shared folder of documents, unstructured.</t>
  </si>
  <si>
    <t>Central repository established and populated.</t>
  </si>
  <si>
    <t>Maintained repository with access governance.</t>
  </si>
  <si>
    <t>Authoritative repository, governed, single source of truth.</t>
  </si>
  <si>
    <t>3.2</t>
  </si>
  <si>
    <t>The repository is kept current and used regularly.</t>
  </si>
  <si>
    <t>Dormant or abandoned.</t>
  </si>
  <si>
    <t>Rarely accessed and outdated.</t>
  </si>
  <si>
    <t>Updated occasionally and inconsistently.</t>
  </si>
  <si>
    <t>Updated and consulted periodically.</t>
  </si>
  <si>
    <t>Routinely maintained and widely used.</t>
  </si>
  <si>
    <t>Continuously maintained; integral to decision-making.</t>
  </si>
  <si>
    <t>3.3</t>
  </si>
  <si>
    <t>The repository holds architecture diagrams / models.</t>
  </si>
  <si>
    <t>No models held.</t>
  </si>
  <si>
    <t>A few isolated diagrams only.</t>
  </si>
  <si>
    <t>Some layers partially modelled.</t>
  </si>
  <si>
    <t>Key layers modelled (business, application, technology).</t>
  </si>
  <si>
    <t>Consistent models maintained across layers.</t>
  </si>
  <si>
    <t>Full ArchiMate models across all relevant layers.</t>
  </si>
  <si>
    <t>3.4</t>
  </si>
  <si>
    <t>The repository holds structured data that can generate architecture reports.</t>
  </si>
  <si>
    <t>Documents only, no structured data.</t>
  </si>
  <si>
    <t>Information held only in narrative form.</t>
  </si>
  <si>
    <t>Limited metadata; reporting is manual.</t>
  </si>
  <si>
    <t>Structured metadata enabling basic reporting.</t>
  </si>
  <si>
    <t>Structured model supporting standard reports.</t>
  </si>
  <si>
    <t>Rich structured model supporting analytics and impact analysis.</t>
  </si>
  <si>
    <t>3.5</t>
  </si>
  <si>
    <t>Technical diagrams of information-system solutions exist.</t>
  </si>
  <si>
    <t>No technical diagrams.</t>
  </si>
  <si>
    <t>Diagrams for a few systems only.</t>
  </si>
  <si>
    <t>Diagrams exist but outdated or incomplete.</t>
  </si>
  <si>
    <t>Diagrams for major systems exist.</t>
  </si>
  <si>
    <t>Maintained diagrams for most systems.</t>
  </si>
  <si>
    <t>Comprehensive, maintained solution architecture set.</t>
  </si>
  <si>
    <t>3.6</t>
  </si>
  <si>
    <t>Functional descriptions of information-system solutions exist.</t>
  </si>
  <si>
    <t>No functional documentation.</t>
  </si>
  <si>
    <t>Informal notes for some systems.</t>
  </si>
  <si>
    <t>Partial descriptions, inconsistent.</t>
  </si>
  <si>
    <t>Functional descriptions for major systems.</t>
  </si>
  <si>
    <t>Maintained descriptions for most systems.</t>
  </si>
  <si>
    <t>Complete, current capability/function catalogue.</t>
  </si>
  <si>
    <t>4.1</t>
  </si>
  <si>
    <t>A data-management function is in place.</t>
  </si>
  <si>
    <t>No data-management function.</t>
  </si>
  <si>
    <t>Data handled ad-hoc by individual system owners.</t>
  </si>
  <si>
    <t>Some data roles exist but no formal governance.</t>
  </si>
  <si>
    <t>Data-management roles and basic governance defined.</t>
  </si>
  <si>
    <t>Active stewardship and data-quality controls.</t>
  </si>
  <si>
    <t>Mature data governance, stewardship and quality management.</t>
  </si>
  <si>
    <t>4.2</t>
  </si>
  <si>
    <t>Data is shared securely with external parties via APIs.</t>
  </si>
  <si>
    <t>No secure API-based exchange.</t>
  </si>
  <si>
    <t>One-off integrations with limited security.</t>
  </si>
  <si>
    <t>A few APIs with inconsistent standards or security.</t>
  </si>
  <si>
    <t>Some integrations exposed through managed, secured APIs.</t>
  </si>
  <si>
    <t>Standardised, secured APIs for key exchanges.</t>
  </si>
  <si>
    <t>Standards-based, secured API exchange (X-Road / interoperability).</t>
  </si>
  <si>
    <t>4.3</t>
  </si>
  <si>
    <t>Data exchange with external parties has moved away from manual methods (email, SFTP, flash drive).</t>
  </si>
  <si>
    <t>External exchange is entirely manual.</t>
  </si>
  <si>
    <t>Mostly manual with a few automated flows.</t>
  </si>
  <si>
    <t>Mix of manual and automated; manual dominant.</t>
  </si>
  <si>
    <t>Manual exchange materially reduced; key flows automated.</t>
  </si>
  <si>
    <t>Most external exchange automated.</t>
  </si>
  <si>
    <t>Manual external exchange effectively eliminated.</t>
  </si>
  <si>
    <t>4.4</t>
  </si>
  <si>
    <t>In-house applications integrate via APIs or an ESB.</t>
  </si>
  <si>
    <t>No application integration.</t>
  </si>
  <si>
    <t>Point-to-point links for a few applications.</t>
  </si>
  <si>
    <t>Some integration with an inconsistent approach.</t>
  </si>
  <si>
    <t>Key applications integrated via API / ESB.</t>
  </si>
  <si>
    <t>Standardised integration across most applications.</t>
  </si>
  <si>
    <t>Enterprise-wide, governed integration backbone.</t>
  </si>
  <si>
    <t>4.5</t>
  </si>
  <si>
    <t>Internal data exchange has moved away from manual methods (shared folders, email, flash drive).</t>
  </si>
  <si>
    <t>Internal exchange is entirely manual.</t>
  </si>
  <si>
    <t>Mostly manual internal exchange.</t>
  </si>
  <si>
    <t>Manual internal exchange materially reduced.</t>
  </si>
  <si>
    <t>Most internal exchange automated.</t>
  </si>
  <si>
    <t>Manual internal exchange effectively eliminated.</t>
  </si>
  <si>
    <t>5.1</t>
  </si>
  <si>
    <t>An architecture board governs digital transformation in the organisation.</t>
  </si>
  <si>
    <t>No architecture board or governance body.</t>
  </si>
  <si>
    <t>Ad-hoc reviews by individuals.</t>
  </si>
  <si>
    <t>Informal or irregular governance discussions.</t>
  </si>
  <si>
    <t>Architecture board established with a defined mandate.</t>
  </si>
  <si>
    <t>Board meets regularly and its decisions are enforced.</t>
  </si>
  <si>
    <t>Active board steering all digital transformation decisions.</t>
  </si>
  <si>
    <t>5.2</t>
  </si>
  <si>
    <t>Governance mechanisms ensure compliance with GWEA principles.</t>
  </si>
  <si>
    <t>No GWEA compliance mechanism.</t>
  </si>
  <si>
    <t>Awareness of GWEA but no compliance checks.</t>
  </si>
  <si>
    <t>Informal or occasional compliance checks.</t>
  </si>
  <si>
    <t>Defined controls checking GWEA principle compliance.</t>
  </si>
  <si>
    <t>Compliance routinely reviewed and reported.</t>
  </si>
  <si>
    <t>Embedded, audited compliance with corrective feedback loops.</t>
  </si>
  <si>
    <t>5.3</t>
  </si>
  <si>
    <t>Architecture is linked to the ArchiMate motivation layer (drivers, outcomes, value).</t>
  </si>
  <si>
    <t>No link to drivers, outcomes or value.</t>
  </si>
  <si>
    <t>Goals mentioned but not modelled.</t>
  </si>
  <si>
    <t>Some initiatives loosely linked to objectives.</t>
  </si>
  <si>
    <t>Initiatives traced to motivation elements.</t>
  </si>
  <si>
    <t>Motivation traceability used in decision-making.</t>
  </si>
  <si>
    <t>Full motivation traceability driving prioritisation.</t>
  </si>
  <si>
    <t>5.4</t>
  </si>
  <si>
    <t>Architecture aligns to national interoperability standards (MIOS / OMF).</t>
  </si>
  <si>
    <t>No alignment to MIOS / OMF.</t>
  </si>
  <si>
    <t>Awareness of standards but not applied.</t>
  </si>
  <si>
    <t>Some standards applied inconsistently.</t>
  </si>
  <si>
    <t>Key standards adopted in solution design.</t>
  </si>
  <si>
    <t>Standards consistently applied and checked.</t>
  </si>
  <si>
    <t>Full conformance, monitored and reported.</t>
  </si>
  <si>
    <t>5.5</t>
  </si>
  <si>
    <t>Investment and change decisions are governed through architecture (ARB / strategic alignment).</t>
  </si>
  <si>
    <t>Decisions taken outside any architecture governance.</t>
  </si>
  <si>
    <t>Architecture occasionally consulted after decisions.</t>
  </si>
  <si>
    <t>Some decisions reviewed but not required.</t>
  </si>
  <si>
    <t>Major decisions reviewed for architecture alignment.</t>
  </si>
  <si>
    <t>Investment routinely gated by architecture review.</t>
  </si>
  <si>
    <t>All investment governed by architecture against strategy/APP.</t>
  </si>
  <si>
    <t>6.1</t>
  </si>
  <si>
    <t>Internal users are served by fit-for-purpose applications.</t>
  </si>
  <si>
    <t>Internal needs largely unsupported by systems.</t>
  </si>
  <si>
    <t>A few functions supported by systems.</t>
  </si>
  <si>
    <t>Partial coverage with notable gaps.</t>
  </si>
  <si>
    <t>Core internal functions supported by applications.</t>
  </si>
  <si>
    <t>Most functions well supported and integrated.</t>
  </si>
  <si>
    <t>Comprehensive, integrated application coverage.</t>
  </si>
  <si>
    <t>6.2</t>
  </si>
  <si>
    <t>Citizens / businesses are served by digital applications.</t>
  </si>
  <si>
    <t>No external-facing digital applications.</t>
  </si>
  <si>
    <t>Minimal online presence (information only).</t>
  </si>
  <si>
    <t>A few transactional services online.</t>
  </si>
  <si>
    <t>Priority external services available digitally.</t>
  </si>
  <si>
    <t>Most external services available digitally.</t>
  </si>
  <si>
    <t>Full digital service coverage across channels.</t>
  </si>
  <si>
    <t>6.3</t>
  </si>
  <si>
    <t>Client-facing (external) services are automated.</t>
  </si>
  <si>
    <t>No external services automated (0%).</t>
  </si>
  <si>
    <t>A small fraction automated (~10–25%).</t>
  </si>
  <si>
    <t>Around a quarter to a third automated.</t>
  </si>
  <si>
    <t>Around half of external services automated (~50%).</t>
  </si>
  <si>
    <t>Majority automated (~75%).</t>
  </si>
  <si>
    <t>Substantially all external services automated (&gt;90%).</t>
  </si>
  <si>
    <t>6.4</t>
  </si>
  <si>
    <t>Internal services are automated.</t>
  </si>
  <si>
    <t>No internal services automated (0%).</t>
  </si>
  <si>
    <t>Around half of internal services automated (~50%).</t>
  </si>
  <si>
    <t>Substantially all internal services automated (&gt;90%).</t>
  </si>
  <si>
    <t>6.5</t>
  </si>
  <si>
    <t>A digital service / channel strategy guides service automation.</t>
  </si>
  <si>
    <t>No service-automation strategy.</t>
  </si>
  <si>
    <t>Intentions stated but no plan.</t>
  </si>
  <si>
    <t>Draft strategy, not yet adopted.</t>
  </si>
  <si>
    <t>Strategy defined with prioritised service targets.</t>
  </si>
  <si>
    <t>Strategy adopted and being executed.</t>
  </si>
  <si>
    <t>Strategy executed, measured and optimised by outcomes.</t>
  </si>
  <si>
    <t>Maturity Scorecard</t>
  </si>
  <si>
    <t>Dimension scores, weighted overall, and maturity band (target = 3.0).</t>
  </si>
  <si>
    <t>Code</t>
  </si>
  <si>
    <t>Dimension</t>
  </si>
  <si>
    <t>Score /5</t>
  </si>
  <si>
    <t>Weight</t>
  </si>
  <si>
    <t>Weighted</t>
  </si>
  <si>
    <t>Band</t>
  </si>
  <si>
    <t>D1</t>
  </si>
  <si>
    <t>EA Practice &amp; Capability</t>
  </si>
  <si>
    <t>D2</t>
  </si>
  <si>
    <t>Architecture Engagements &amp; Roadmap</t>
  </si>
  <si>
    <t>D3</t>
  </si>
  <si>
    <t>Repository &amp; Artefacts</t>
  </si>
  <si>
    <t>D4</t>
  </si>
  <si>
    <t>Data Management &amp; Interoperability</t>
  </si>
  <si>
    <t>D5</t>
  </si>
  <si>
    <t>Governance &amp; Strategic Alignment</t>
  </si>
  <si>
    <t>D6</t>
  </si>
  <si>
    <t>Service Digitisation</t>
  </si>
  <si>
    <t>OVERALL MATURITY</t>
  </si>
  <si>
    <t>/ 5.00</t>
  </si>
  <si>
    <t>Target ≥ 3.00 (Fair / Defined).  4.00 = Good (Managed).  5.00 = Excellent (Optimised).</t>
  </si>
  <si>
    <t>Actual</t>
  </si>
  <si>
    <t>Target</t>
  </si>
  <si>
    <t>Maturity Levels (process-maturity scale)</t>
  </si>
  <si>
    <t>Level</t>
  </si>
  <si>
    <t>Description</t>
  </si>
  <si>
    <t>0</t>
  </si>
  <si>
    <t>Non-existent</t>
  </si>
  <si>
    <t>No capability in place; the practice is absent.</t>
  </si>
  <si>
    <t>1</t>
  </si>
  <si>
    <t>Initial</t>
  </si>
  <si>
    <t>Ad-hoc and dependent on individual effort; unpredictable.</t>
  </si>
  <si>
    <t>2</t>
  </si>
  <si>
    <t>Repeatable</t>
  </si>
  <si>
    <t>Some practice exists but is inconsistent and undocumented.</t>
  </si>
  <si>
    <t>3</t>
  </si>
  <si>
    <t>Defined — FAIR (target)</t>
  </si>
  <si>
    <t>Documented, standardised and applied across the organisation.</t>
  </si>
  <si>
    <t>4</t>
  </si>
  <si>
    <t>Managed — Good</t>
  </si>
  <si>
    <t>Measured and controlled against defined objectives.</t>
  </si>
  <si>
    <t>5</t>
  </si>
  <si>
    <t>Optimised — Excellent</t>
  </si>
  <si>
    <t>Continuously improved and embedded in the operating model.</t>
  </si>
  <si>
    <t>Scoring: each question is rated 0–5. A dimension score is the average of its questions. The overall maturity is the weighted average of the six dimension scores (weights default to 1 / equal, adjustable on the Scorecard). The Technology Landscape Profile is descriptive and informs Dimension 6 rather than being scored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</si>
</sst>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22" x14ac:knownFonts="1">
    <font>
      <sz val="11"/>
      <color theme="1"/>
      <name val="Calibri"/>
      <family val="2"/>
      <charset val="1"/>
    </font>
    <font>
      <b/>
      <sz val="16"/>
      <color rgb="FF085041"/>
      <name val="Arial"/>
      <charset val="1"/>
    </font>
    <font>
      <sz val="11"/>
      <color rgb="FF1D9E75"/>
      <name val="Arial"/>
      <charset val="1"/>
    </font>
    <font>
      <b/>
      <sz val="11"/>
      <color rgb="FFFFFFFF"/>
      <name val="Arial"/>
      <charset val="1"/>
    </font>
    <font>
      <b/>
      <sz val="10"/>
      <color rgb="FF222222"/>
      <name val="Arial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charset val="1"/>
    </font>
    <font>
      <sz val="10"/>
      <color rgb="FF222222"/>
      <name val="Arial"/>
      <charset val="1"/>
    </font>
    <font>
      <i/>
      <sz val="9"/>
      <color rgb="FF0F6E56"/>
      <name val="Arial"/>
      <charset val="1"/>
    </font>
    <font>
      <i/>
      <sz val="9"/>
      <color rgb="FF555555"/>
      <name val="Arial"/>
      <charset val="1"/>
    </font>
    <font>
      <sz val="9"/>
      <color rgb="FF0000FF"/>
      <name val="Arial"/>
      <family val="2"/>
      <charset val="1"/>
    </font>
    <font>
      <sz val="8"/>
      <color rgb="FF888888"/>
      <name val="Arial"/>
      <charset val="1"/>
    </font>
    <font>
      <b/>
      <sz val="14"/>
      <color rgb="FF085041"/>
      <name val="Arial"/>
      <charset val="1"/>
    </font>
    <font>
      <b/>
      <sz val="10"/>
      <color rgb="FF085041"/>
      <name val="Arial"/>
      <charset val="1"/>
    </font>
    <font>
      <sz val="9"/>
      <color rgb="FF555555"/>
      <name val="Arial"/>
      <charset val="1"/>
    </font>
    <font>
      <b/>
      <sz val="11"/>
      <color rgb="FF0000FF"/>
      <name val="Arial"/>
      <charset val="1"/>
    </font>
    <font>
      <sz val="9"/>
      <color rgb="FF0000FF"/>
      <name val="Arial"/>
      <charset val="1"/>
    </font>
    <font>
      <sz val="10"/>
      <color rgb="FF0000FF"/>
      <name val="Arial"/>
      <charset val="1"/>
    </font>
    <font>
      <sz val="9"/>
      <color rgb="FF222222"/>
      <name val="Arial"/>
      <charset val="1"/>
    </font>
    <font>
      <b/>
      <sz val="9"/>
      <color rgb="FFFFFFFF"/>
      <name val="Arial"/>
      <charset val="1"/>
    </font>
    <font>
      <b/>
      <sz val="9"/>
      <color rgb="FF0F6E56"/>
      <name val="Arial"/>
      <charset val="1"/>
    </font>
    <font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EDEDEA"/>
        <bgColor rgb="FFFAFAF8"/>
      </patternFill>
    </fill>
    <fill>
      <patternFill patternType="solid">
        <fgColor rgb="FFFFFFFF"/>
        <bgColor rgb="FFFAFAF8"/>
      </patternFill>
    </fill>
    <fill>
      <patternFill patternType="solid">
        <fgColor rgb="FF0F6E56"/>
        <bgColor rgb="FF008080"/>
      </patternFill>
    </fill>
    <fill>
      <patternFill patternType="solid">
        <fgColor rgb="FFFAFAF8"/>
        <bgColor rgb="FFFFFFFF"/>
      </patternFill>
    </fill>
  </fills>
  <borders count="11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  <border>
      <left style="medium">
        <color rgb="FF0000FF"/>
      </left>
      <right style="thin">
        <color rgb="FFD9D9D6"/>
      </right>
      <top style="medium">
        <color rgb="FF0000FF"/>
      </top>
      <bottom style="thin">
        <color rgb="FFD9D9D6"/>
      </bottom>
      <diagonal/>
    </border>
    <border>
      <left style="medium">
        <color rgb="FF0000FF"/>
      </left>
      <right style="thin">
        <color rgb="FFD9D9D6"/>
      </right>
      <top style="thin">
        <color rgb="FFD9D9D6"/>
      </top>
      <bottom style="thin">
        <color rgb="FFD9D9D6"/>
      </bottom>
      <diagonal/>
    </border>
    <border>
      <left style="medium">
        <color rgb="FF0000FF"/>
      </left>
      <right style="thin">
        <color rgb="FFD9D9D6"/>
      </right>
      <top style="thin">
        <color rgb="FFD9D9D6"/>
      </top>
      <bottom style="medium">
        <color rgb="FF0000FF"/>
      </bottom>
      <diagonal/>
    </border>
    <border>
      <left style="thin">
        <color rgb="FFD9D9D6"/>
      </left>
      <right style="thin">
        <color rgb="FFD9D9D6"/>
      </right>
      <top style="thin">
        <color rgb="FFD9D9D6"/>
      </top>
      <bottom/>
      <diagonal/>
    </border>
    <border>
      <left style="thin">
        <color rgb="FFD9D9D6"/>
      </left>
      <right/>
      <top style="thin">
        <color rgb="FFD9D9D6"/>
      </top>
      <bottom style="thin">
        <color rgb="FFD9D9D6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rgb="FFD9D9D6"/>
      </bottom>
      <diagonal/>
    </border>
    <border>
      <left/>
      <right/>
      <top style="thin">
        <color rgb="FFD9D9D6"/>
      </top>
      <bottom style="thin">
        <color rgb="FFD9D9D6"/>
      </bottom>
      <diagonal/>
    </border>
    <border>
      <left style="medium">
        <color rgb="FF0000FF"/>
      </left>
      <right style="medium">
        <color rgb="FF0000FF"/>
      </right>
      <top style="thin">
        <color rgb="FFD9D9D6"/>
      </top>
      <bottom style="thin">
        <color rgb="FFD9D9D6"/>
      </bottom>
      <diagonal/>
    </border>
    <border>
      <left style="medium">
        <color rgb="FF0000FF"/>
      </left>
      <right style="medium">
        <color rgb="FF0000FF"/>
      </right>
      <top style="thin">
        <color rgb="FFD9D9D6"/>
      </top>
      <bottom style="medium">
        <color rgb="FF0000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164" fontId="5" fillId="4" borderId="7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164" fontId="5" fillId="4" borderId="9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0" fillId="4" borderId="9" xfId="0" applyNumberFormat="1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165" fontId="10" fillId="6" borderId="9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164" fontId="5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2" fontId="7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2" fontId="0" fillId="0" borderId="0" xfId="0" applyNumberFormat="1"/>
    <xf numFmtId="0" fontId="4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2" fillId="0" borderId="0" xfId="0" applyFont="1"/>
    <xf numFmtId="0" fontId="8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1" fillId="0" borderId="0" xfId="0" applyFont="1"/>
    <xf numFmtId="0" fontId="5" fillId="4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9D9D6"/>
      <rgbColor rgb="FF878787"/>
      <rgbColor rgb="FF9999FF"/>
      <rgbColor rgb="FF993366"/>
      <rgbColor rgb="FFFAFAF8"/>
      <rgbColor rgb="FFEDEDEA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FF6600"/>
      <rgbColor rgb="FF555555"/>
      <rgbColor rgb="FF888888"/>
      <rgbColor rgb="FF085041"/>
      <rgbColor rgb="FF1D9E75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Z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EA Maturity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Scorecard!$J$15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Scorecard!$I$16:$I$21</c:f>
              <c:strCache>
                <c:ptCount val="6"/>
                <c:pt idx="0">
                  <c:v>EA Practice &amp; Capability</c:v>
                </c:pt>
                <c:pt idx="1">
                  <c:v>Architecture Engagements &amp; Roadmap</c:v>
                </c:pt>
                <c:pt idx="2">
                  <c:v>Repository &amp; Artefacts</c:v>
                </c:pt>
                <c:pt idx="3">
                  <c:v>Data Management &amp; Interoperability</c:v>
                </c:pt>
                <c:pt idx="4">
                  <c:v>Governance &amp; Strategic Alignment</c:v>
                </c:pt>
                <c:pt idx="5">
                  <c:v>Service Digitisation</c:v>
                </c:pt>
              </c:strCache>
            </c:strRef>
          </c:cat>
          <c:val>
            <c:numRef>
              <c:f>Scorecard!$J$16:$J$21</c:f>
              <c:numCache>
                <c:formatCode>0.00</c:formatCode>
                <c:ptCount val="6"/>
                <c:pt idx="0">
                  <c:v>0.8</c:v>
                </c:pt>
                <c:pt idx="1">
                  <c:v>1.5</c:v>
                </c:pt>
                <c:pt idx="2">
                  <c:v>0.66666666666666663</c:v>
                </c:pt>
                <c:pt idx="3">
                  <c:v>1</c:v>
                </c:pt>
                <c:pt idx="4">
                  <c:v>1.6</c:v>
                </c:pt>
                <c:pt idx="5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1-4CC7-9418-E2CF3FA85D79}"/>
            </c:ext>
          </c:extLst>
        </c:ser>
        <c:ser>
          <c:idx val="1"/>
          <c:order val="1"/>
          <c:tx>
            <c:strRef>
              <c:f>Scorecard!$K$15</c:f>
              <c:strCache>
                <c:ptCount val="1"/>
                <c:pt idx="0">
                  <c:v>Target</c:v>
                </c:pt>
              </c:strCache>
            </c:strRef>
          </c:tx>
          <c:spPr>
            <a:noFill/>
            <a:ln w="19080">
              <a:solidFill>
                <a:srgbClr val="C00000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Scorecard!$I$16:$I$21</c:f>
              <c:strCache>
                <c:ptCount val="6"/>
                <c:pt idx="0">
                  <c:v>EA Practice &amp; Capability</c:v>
                </c:pt>
                <c:pt idx="1">
                  <c:v>Architecture Engagements &amp; Roadmap</c:v>
                </c:pt>
                <c:pt idx="2">
                  <c:v>Repository &amp; Artefacts</c:v>
                </c:pt>
                <c:pt idx="3">
                  <c:v>Data Management &amp; Interoperability</c:v>
                </c:pt>
                <c:pt idx="4">
                  <c:v>Governance &amp; Strategic Alignment</c:v>
                </c:pt>
                <c:pt idx="5">
                  <c:v>Service Digitisation</c:v>
                </c:pt>
              </c:strCache>
            </c:strRef>
          </c:cat>
          <c:val>
            <c:numRef>
              <c:f>Scorecard!$K$16:$K$21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1-4CC7-9418-E2CF3FA85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2002"/>
        <c:axId val="6020088"/>
      </c:radarChart>
      <c:catAx>
        <c:axId val="5920200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20088"/>
        <c:crosses val="autoZero"/>
        <c:auto val="1"/>
        <c:lblAlgn val="ctr"/>
        <c:lblOffset val="100"/>
        <c:noMultiLvlLbl val="0"/>
      </c:catAx>
      <c:valAx>
        <c:axId val="602008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202002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160560</xdr:rowOff>
    </xdr:from>
    <xdr:to>
      <xdr:col>6</xdr:col>
      <xdr:colOff>538920</xdr:colOff>
      <xdr:row>32</xdr:row>
      <xdr:rowOff>140040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showGridLines="0" zoomScaleNormal="100" workbookViewId="0">
      <selection activeCell="C34" sqref="C34"/>
    </sheetView>
  </sheetViews>
  <sheetFormatPr defaultColWidth="8.6640625" defaultRowHeight="14.4" x14ac:dyDescent="0.3"/>
  <cols>
    <col min="1" max="1" width="3" customWidth="1"/>
    <col min="2" max="2" width="34" customWidth="1"/>
    <col min="3" max="4" width="26" customWidth="1"/>
    <col min="5" max="5" width="20" customWidth="1"/>
  </cols>
  <sheetData>
    <row r="2" spans="2:5" ht="24" customHeight="1" x14ac:dyDescent="0.4">
      <c r="B2" s="47" t="s">
        <v>0</v>
      </c>
      <c r="C2" s="47"/>
      <c r="D2" s="47"/>
      <c r="E2" s="47"/>
    </row>
    <row r="3" spans="2:5" ht="14.25" customHeight="1" x14ac:dyDescent="0.3">
      <c r="B3" s="48" t="s">
        <v>1</v>
      </c>
      <c r="C3" s="48"/>
      <c r="D3" s="48"/>
      <c r="E3" s="48"/>
    </row>
    <row r="5" spans="2:5" ht="15" customHeight="1" x14ac:dyDescent="0.3">
      <c r="B5" s="49" t="s">
        <v>2</v>
      </c>
      <c r="C5" s="49"/>
      <c r="D5" s="49"/>
      <c r="E5" s="49"/>
    </row>
    <row r="6" spans="2:5" ht="19.5" customHeight="1" x14ac:dyDescent="0.3">
      <c r="B6" s="50" t="s">
        <v>3</v>
      </c>
      <c r="C6" s="50"/>
      <c r="D6" s="51"/>
      <c r="E6" s="51"/>
    </row>
    <row r="7" spans="2:5" ht="19.5" customHeight="1" x14ac:dyDescent="0.3">
      <c r="B7" s="50" t="s">
        <v>4</v>
      </c>
      <c r="C7" s="50"/>
      <c r="D7" s="52"/>
      <c r="E7" s="52"/>
    </row>
    <row r="8" spans="2:5" ht="19.5" customHeight="1" x14ac:dyDescent="0.3">
      <c r="B8" s="50" t="s">
        <v>5</v>
      </c>
      <c r="C8" s="50"/>
      <c r="D8" s="52"/>
      <c r="E8" s="52"/>
    </row>
    <row r="9" spans="2:5" ht="19.5" customHeight="1" x14ac:dyDescent="0.3">
      <c r="B9" s="50" t="s">
        <v>6</v>
      </c>
      <c r="C9" s="50"/>
      <c r="D9" s="52"/>
      <c r="E9" s="52"/>
    </row>
    <row r="10" spans="2:5" ht="19.5" customHeight="1" x14ac:dyDescent="0.3">
      <c r="B10" s="50" t="s">
        <v>7</v>
      </c>
      <c r="C10" s="50"/>
      <c r="D10" s="54"/>
      <c r="E10" s="54"/>
    </row>
    <row r="12" spans="2:5" ht="15" customHeight="1" x14ac:dyDescent="0.3">
      <c r="B12" s="55" t="s">
        <v>8</v>
      </c>
      <c r="C12" s="55"/>
      <c r="D12" s="55"/>
      <c r="E12" s="55"/>
    </row>
    <row r="13" spans="2:5" ht="15" customHeight="1" x14ac:dyDescent="0.3">
      <c r="B13" s="2" t="s">
        <v>9</v>
      </c>
      <c r="C13" s="56" t="s">
        <v>10</v>
      </c>
      <c r="D13" s="56"/>
      <c r="E13" s="56"/>
    </row>
    <row r="14" spans="2:5" ht="18" customHeight="1" x14ac:dyDescent="0.3">
      <c r="B14" s="3" t="s">
        <v>11</v>
      </c>
      <c r="C14" s="4"/>
      <c r="D14" s="5" t="s">
        <v>12</v>
      </c>
      <c r="E14" s="6"/>
    </row>
    <row r="15" spans="2:5" ht="26.25" customHeight="1" x14ac:dyDescent="0.3">
      <c r="B15" s="7" t="s">
        <v>13</v>
      </c>
      <c r="C15" s="8"/>
      <c r="D15" s="9" t="s">
        <v>14</v>
      </c>
      <c r="E15" s="10" t="str">
        <f>IF(C16=0,"-",C17/C16)</f>
        <v>-</v>
      </c>
    </row>
    <row r="16" spans="2:5" ht="30" customHeight="1" x14ac:dyDescent="0.3">
      <c r="B16" s="3" t="s">
        <v>15</v>
      </c>
      <c r="C16" s="8"/>
      <c r="D16" s="11" t="s">
        <v>16</v>
      </c>
      <c r="E16" s="12" t="str">
        <f>IF(C18=0,"-",C19/C18)</f>
        <v>-</v>
      </c>
    </row>
    <row r="17" spans="2:5" ht="29.25" customHeight="1" x14ac:dyDescent="0.3">
      <c r="B17" s="7" t="s">
        <v>17</v>
      </c>
      <c r="C17" s="8"/>
      <c r="D17" s="13"/>
      <c r="E17" s="14"/>
    </row>
    <row r="18" spans="2:5" ht="27" customHeight="1" x14ac:dyDescent="0.3">
      <c r="B18" s="3" t="s">
        <v>18</v>
      </c>
      <c r="C18" s="8"/>
      <c r="D18" s="15"/>
      <c r="E18" s="16"/>
    </row>
    <row r="19" spans="2:5" ht="33.75" customHeight="1" x14ac:dyDescent="0.3">
      <c r="B19" s="7" t="s">
        <v>19</v>
      </c>
      <c r="C19" s="17"/>
      <c r="D19" s="13"/>
      <c r="E19" s="18"/>
    </row>
    <row r="21" spans="2:5" ht="30" customHeight="1" x14ac:dyDescent="0.3">
      <c r="B21" s="57" t="s">
        <v>20</v>
      </c>
      <c r="C21" s="57"/>
      <c r="D21" s="57"/>
      <c r="E21" s="57"/>
    </row>
    <row r="23" spans="2:5" ht="14.25" customHeight="1" x14ac:dyDescent="0.3">
      <c r="B23" s="53" t="s">
        <v>21</v>
      </c>
      <c r="C23" s="53"/>
      <c r="D23" s="53"/>
      <c r="E23" s="53"/>
    </row>
    <row r="24" spans="2:5" ht="14.25" customHeight="1" x14ac:dyDescent="0.3">
      <c r="B24" s="53" t="s">
        <v>22</v>
      </c>
      <c r="C24" s="53"/>
      <c r="D24" s="53"/>
      <c r="E24" s="53"/>
    </row>
  </sheetData>
  <mergeCells count="18">
    <mergeCell ref="B23:E23"/>
    <mergeCell ref="B24:E24"/>
    <mergeCell ref="B10:C10"/>
    <mergeCell ref="D10:E10"/>
    <mergeCell ref="B12:E12"/>
    <mergeCell ref="C13:E13"/>
    <mergeCell ref="B21:E21"/>
    <mergeCell ref="B7:C7"/>
    <mergeCell ref="D7:E7"/>
    <mergeCell ref="B8:C8"/>
    <mergeCell ref="D8:E8"/>
    <mergeCell ref="B9:C9"/>
    <mergeCell ref="D9:E9"/>
    <mergeCell ref="B2:E2"/>
    <mergeCell ref="B3:E3"/>
    <mergeCell ref="B5:E5"/>
    <mergeCell ref="B6:C6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5"/>
  <sheetViews>
    <sheetView showGridLines="0" zoomScale="85" zoomScaleNormal="85" workbookViewId="0">
      <selection activeCell="L10" sqref="L10"/>
    </sheetView>
  </sheetViews>
  <sheetFormatPr defaultColWidth="8.6640625" defaultRowHeight="14.4" x14ac:dyDescent="0.3"/>
  <cols>
    <col min="1" max="1" width="3" customWidth="1"/>
    <col min="2" max="2" width="7" customWidth="1"/>
    <col min="3" max="3" width="40" customWidth="1"/>
    <col min="4" max="9" width="26" customWidth="1"/>
    <col min="10" max="10" width="9" customWidth="1"/>
    <col min="11" max="11" width="26" customWidth="1"/>
  </cols>
  <sheetData>
    <row r="2" spans="2:11" ht="17.25" customHeight="1" x14ac:dyDescent="0.3">
      <c r="B2" s="44" t="s">
        <v>23</v>
      </c>
      <c r="C2" s="44"/>
      <c r="D2" s="44"/>
      <c r="E2" s="44"/>
      <c r="F2" s="44"/>
      <c r="G2" s="44"/>
      <c r="H2" s="44"/>
    </row>
    <row r="3" spans="2:11" ht="14.25" customHeight="1" x14ac:dyDescent="0.3">
      <c r="B3" s="45" t="s">
        <v>24</v>
      </c>
      <c r="C3" s="45"/>
      <c r="D3" s="45"/>
      <c r="E3" s="45"/>
      <c r="F3" s="45"/>
      <c r="G3" s="45"/>
      <c r="H3" s="45"/>
    </row>
    <row r="5" spans="2:11" ht="27.75" customHeight="1" x14ac:dyDescent="0.3">
      <c r="B5" s="19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19" t="s">
        <v>33</v>
      </c>
      <c r="K5" s="2" t="s">
        <v>34</v>
      </c>
    </row>
    <row r="6" spans="2:11" ht="57.75" customHeight="1" x14ac:dyDescent="0.3">
      <c r="B6" s="20" t="s">
        <v>35</v>
      </c>
      <c r="C6" s="21" t="s">
        <v>36</v>
      </c>
      <c r="D6" s="22" t="s">
        <v>37</v>
      </c>
      <c r="E6" s="22" t="s">
        <v>38</v>
      </c>
      <c r="F6" s="22" t="s">
        <v>39</v>
      </c>
      <c r="G6" s="22" t="s">
        <v>40</v>
      </c>
      <c r="H6" s="22" t="s">
        <v>41</v>
      </c>
      <c r="I6" s="22" t="s">
        <v>42</v>
      </c>
      <c r="J6" s="23">
        <v>0</v>
      </c>
      <c r="K6" s="24"/>
    </row>
    <row r="7" spans="2:11" ht="57.75" customHeight="1" x14ac:dyDescent="0.3">
      <c r="B7" s="25" t="s">
        <v>43</v>
      </c>
      <c r="C7" s="26" t="s">
        <v>44</v>
      </c>
      <c r="D7" s="27" t="s">
        <v>45</v>
      </c>
      <c r="E7" s="27" t="s">
        <v>46</v>
      </c>
      <c r="F7" s="27" t="s">
        <v>47</v>
      </c>
      <c r="G7" s="27" t="s">
        <v>48</v>
      </c>
      <c r="H7" s="27" t="s">
        <v>49</v>
      </c>
      <c r="I7" s="27" t="s">
        <v>50</v>
      </c>
      <c r="J7" s="23">
        <v>1</v>
      </c>
      <c r="K7" s="24"/>
    </row>
    <row r="8" spans="2:11" ht="57.75" customHeight="1" x14ac:dyDescent="0.3">
      <c r="B8" s="20" t="s">
        <v>51</v>
      </c>
      <c r="C8" s="21" t="s">
        <v>52</v>
      </c>
      <c r="D8" s="22" t="s">
        <v>53</v>
      </c>
      <c r="E8" s="22" t="s">
        <v>54</v>
      </c>
      <c r="F8" s="22" t="s">
        <v>55</v>
      </c>
      <c r="G8" s="22" t="s">
        <v>56</v>
      </c>
      <c r="H8" s="22" t="s">
        <v>57</v>
      </c>
      <c r="I8" s="22" t="s">
        <v>58</v>
      </c>
      <c r="J8" s="23">
        <v>2</v>
      </c>
      <c r="K8" s="24"/>
    </row>
    <row r="9" spans="2:11" ht="57.75" customHeight="1" x14ac:dyDescent="0.3">
      <c r="B9" s="25" t="s">
        <v>59</v>
      </c>
      <c r="C9" s="26" t="s">
        <v>60</v>
      </c>
      <c r="D9" s="27" t="s">
        <v>61</v>
      </c>
      <c r="E9" s="27" t="s">
        <v>62</v>
      </c>
      <c r="F9" s="27" t="s">
        <v>63</v>
      </c>
      <c r="G9" s="27" t="s">
        <v>64</v>
      </c>
      <c r="H9" s="27" t="s">
        <v>65</v>
      </c>
      <c r="I9" s="27" t="s">
        <v>66</v>
      </c>
      <c r="J9" s="23">
        <v>1</v>
      </c>
      <c r="K9" s="24"/>
    </row>
    <row r="10" spans="2:11" ht="57.75" customHeight="1" x14ac:dyDescent="0.3">
      <c r="B10" s="20" t="s">
        <v>67</v>
      </c>
      <c r="C10" s="21" t="s">
        <v>68</v>
      </c>
      <c r="D10" s="22" t="s">
        <v>69</v>
      </c>
      <c r="E10" s="22" t="s">
        <v>70</v>
      </c>
      <c r="F10" s="22" t="s">
        <v>71</v>
      </c>
      <c r="G10" s="22" t="s">
        <v>72</v>
      </c>
      <c r="H10" s="22" t="s">
        <v>73</v>
      </c>
      <c r="I10" s="22" t="s">
        <v>74</v>
      </c>
      <c r="J10" s="23">
        <v>0</v>
      </c>
      <c r="K10" s="24"/>
    </row>
    <row r="11" spans="2:11" ht="57.75" customHeight="1" x14ac:dyDescent="0.3">
      <c r="B11" s="25" t="s">
        <v>75</v>
      </c>
      <c r="C11" s="26" t="s">
        <v>76</v>
      </c>
      <c r="D11" s="27" t="s">
        <v>77</v>
      </c>
      <c r="E11" s="27" t="s">
        <v>78</v>
      </c>
      <c r="F11" s="27" t="s">
        <v>79</v>
      </c>
      <c r="G11" s="27" t="s">
        <v>80</v>
      </c>
      <c r="H11" s="27" t="s">
        <v>81</v>
      </c>
      <c r="I11" s="27" t="s">
        <v>82</v>
      </c>
      <c r="J11" s="23">
        <v>2</v>
      </c>
      <c r="K11" s="24"/>
    </row>
    <row r="12" spans="2:11" ht="57.75" customHeight="1" x14ac:dyDescent="0.3">
      <c r="B12" s="20" t="s">
        <v>83</v>
      </c>
      <c r="C12" s="21" t="s">
        <v>84</v>
      </c>
      <c r="D12" s="22" t="s">
        <v>85</v>
      </c>
      <c r="E12" s="22" t="s">
        <v>86</v>
      </c>
      <c r="F12" s="22" t="s">
        <v>87</v>
      </c>
      <c r="G12" s="22" t="s">
        <v>88</v>
      </c>
      <c r="H12" s="22" t="s">
        <v>89</v>
      </c>
      <c r="I12" s="22" t="s">
        <v>90</v>
      </c>
      <c r="J12" s="23">
        <v>3</v>
      </c>
      <c r="K12" s="24"/>
    </row>
    <row r="13" spans="2:11" ht="57.75" customHeight="1" x14ac:dyDescent="0.3">
      <c r="B13" s="25" t="s">
        <v>91</v>
      </c>
      <c r="C13" s="26" t="s">
        <v>92</v>
      </c>
      <c r="D13" s="27" t="s">
        <v>93</v>
      </c>
      <c r="E13" s="27" t="s">
        <v>94</v>
      </c>
      <c r="F13" s="27" t="s">
        <v>95</v>
      </c>
      <c r="G13" s="27" t="s">
        <v>96</v>
      </c>
      <c r="H13" s="27" t="s">
        <v>97</v>
      </c>
      <c r="I13" s="27" t="s">
        <v>98</v>
      </c>
      <c r="J13" s="23">
        <v>0</v>
      </c>
      <c r="K13" s="24"/>
    </row>
    <row r="14" spans="2:11" ht="57.75" customHeight="1" x14ac:dyDescent="0.3">
      <c r="B14" s="20" t="s">
        <v>99</v>
      </c>
      <c r="C14" s="21" t="s">
        <v>100</v>
      </c>
      <c r="D14" s="22" t="s">
        <v>101</v>
      </c>
      <c r="E14" s="22" t="s">
        <v>102</v>
      </c>
      <c r="F14" s="22" t="s">
        <v>103</v>
      </c>
      <c r="G14" s="22" t="s">
        <v>104</v>
      </c>
      <c r="H14" s="22" t="s">
        <v>105</v>
      </c>
      <c r="I14" s="22" t="s">
        <v>106</v>
      </c>
      <c r="J14" s="23">
        <v>1</v>
      </c>
      <c r="K14" s="24"/>
    </row>
    <row r="15" spans="2:11" ht="57.75" customHeight="1" x14ac:dyDescent="0.3">
      <c r="B15" s="25" t="s">
        <v>107</v>
      </c>
      <c r="C15" s="26" t="s">
        <v>108</v>
      </c>
      <c r="D15" s="27" t="s">
        <v>109</v>
      </c>
      <c r="E15" s="27" t="s">
        <v>110</v>
      </c>
      <c r="F15" s="27" t="s">
        <v>111</v>
      </c>
      <c r="G15" s="27" t="s">
        <v>112</v>
      </c>
      <c r="H15" s="27" t="s">
        <v>113</v>
      </c>
      <c r="I15" s="27" t="s">
        <v>114</v>
      </c>
      <c r="J15" s="23">
        <v>1</v>
      </c>
      <c r="K15" s="24"/>
    </row>
    <row r="16" spans="2:11" ht="57.75" customHeight="1" x14ac:dyDescent="0.3">
      <c r="B16" s="20" t="s">
        <v>115</v>
      </c>
      <c r="C16" s="21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2" t="s">
        <v>121</v>
      </c>
      <c r="I16" s="22" t="s">
        <v>122</v>
      </c>
      <c r="J16" s="23">
        <v>1</v>
      </c>
      <c r="K16" s="24"/>
    </row>
    <row r="17" spans="2:11" ht="57.75" customHeight="1" x14ac:dyDescent="0.3">
      <c r="B17" s="25" t="s">
        <v>123</v>
      </c>
      <c r="C17" s="26" t="s">
        <v>124</v>
      </c>
      <c r="D17" s="27" t="s">
        <v>125</v>
      </c>
      <c r="E17" s="27" t="s">
        <v>126</v>
      </c>
      <c r="F17" s="27" t="s">
        <v>127</v>
      </c>
      <c r="G17" s="27" t="s">
        <v>128</v>
      </c>
      <c r="H17" s="27" t="s">
        <v>129</v>
      </c>
      <c r="I17" s="27" t="s">
        <v>130</v>
      </c>
      <c r="J17" s="23">
        <v>0</v>
      </c>
      <c r="K17" s="24"/>
    </row>
    <row r="18" spans="2:11" ht="57.75" customHeight="1" x14ac:dyDescent="0.3">
      <c r="B18" s="20" t="s">
        <v>131</v>
      </c>
      <c r="C18" s="21" t="s">
        <v>132</v>
      </c>
      <c r="D18" s="22" t="s">
        <v>133</v>
      </c>
      <c r="E18" s="22" t="s">
        <v>134</v>
      </c>
      <c r="F18" s="22" t="s">
        <v>135</v>
      </c>
      <c r="G18" s="22" t="s">
        <v>136</v>
      </c>
      <c r="H18" s="22" t="s">
        <v>137</v>
      </c>
      <c r="I18" s="22" t="s">
        <v>138</v>
      </c>
      <c r="J18" s="23">
        <v>0</v>
      </c>
      <c r="K18" s="24"/>
    </row>
    <row r="19" spans="2:11" ht="57.75" customHeight="1" x14ac:dyDescent="0.3">
      <c r="B19" s="25" t="s">
        <v>139</v>
      </c>
      <c r="C19" s="26" t="s">
        <v>140</v>
      </c>
      <c r="D19" s="27" t="s">
        <v>141</v>
      </c>
      <c r="E19" s="27" t="s">
        <v>142</v>
      </c>
      <c r="F19" s="27" t="s">
        <v>143</v>
      </c>
      <c r="G19" s="27" t="s">
        <v>144</v>
      </c>
      <c r="H19" s="27" t="s">
        <v>145</v>
      </c>
      <c r="I19" s="27" t="s">
        <v>146</v>
      </c>
      <c r="J19" s="23">
        <v>2</v>
      </c>
      <c r="K19" s="24"/>
    </row>
    <row r="20" spans="2:11" ht="57.75" customHeight="1" x14ac:dyDescent="0.3">
      <c r="B20" s="20" t="s">
        <v>147</v>
      </c>
      <c r="C20" s="21" t="s">
        <v>148</v>
      </c>
      <c r="D20" s="22" t="s">
        <v>149</v>
      </c>
      <c r="E20" s="22" t="s">
        <v>150</v>
      </c>
      <c r="F20" s="22" t="s">
        <v>151</v>
      </c>
      <c r="G20" s="22" t="s">
        <v>152</v>
      </c>
      <c r="H20" s="22" t="s">
        <v>153</v>
      </c>
      <c r="I20" s="22" t="s">
        <v>154</v>
      </c>
      <c r="J20" s="23">
        <v>0</v>
      </c>
      <c r="K20" s="24"/>
    </row>
    <row r="21" spans="2:11" ht="57.75" customHeight="1" x14ac:dyDescent="0.3">
      <c r="B21" s="25" t="s">
        <v>155</v>
      </c>
      <c r="C21" s="26" t="s">
        <v>156</v>
      </c>
      <c r="D21" s="27" t="s">
        <v>157</v>
      </c>
      <c r="E21" s="27" t="s">
        <v>158</v>
      </c>
      <c r="F21" s="27" t="s">
        <v>159</v>
      </c>
      <c r="G21" s="27" t="s">
        <v>160</v>
      </c>
      <c r="H21" s="27" t="s">
        <v>161</v>
      </c>
      <c r="I21" s="27" t="s">
        <v>162</v>
      </c>
      <c r="J21" s="23">
        <v>3</v>
      </c>
      <c r="K21" s="24"/>
    </row>
    <row r="22" spans="2:11" ht="57.75" customHeight="1" x14ac:dyDescent="0.3">
      <c r="B22" s="20" t="s">
        <v>163</v>
      </c>
      <c r="C22" s="21" t="s">
        <v>164</v>
      </c>
      <c r="D22" s="22" t="s">
        <v>165</v>
      </c>
      <c r="E22" s="22" t="s">
        <v>166</v>
      </c>
      <c r="F22" s="22" t="s">
        <v>167</v>
      </c>
      <c r="G22" s="22" t="s">
        <v>168</v>
      </c>
      <c r="H22" s="22" t="s">
        <v>169</v>
      </c>
      <c r="I22" s="22" t="s">
        <v>170</v>
      </c>
      <c r="J22" s="23">
        <v>1</v>
      </c>
      <c r="K22" s="24"/>
    </row>
    <row r="23" spans="2:11" ht="57.75" customHeight="1" x14ac:dyDescent="0.3">
      <c r="B23" s="25" t="s">
        <v>171</v>
      </c>
      <c r="C23" s="26" t="s">
        <v>172</v>
      </c>
      <c r="D23" s="27" t="s">
        <v>173</v>
      </c>
      <c r="E23" s="27" t="s">
        <v>174</v>
      </c>
      <c r="F23" s="27" t="s">
        <v>175</v>
      </c>
      <c r="G23" s="27" t="s">
        <v>176</v>
      </c>
      <c r="H23" s="27" t="s">
        <v>177</v>
      </c>
      <c r="I23" s="27" t="s">
        <v>178</v>
      </c>
      <c r="J23" s="23">
        <v>0</v>
      </c>
      <c r="K23" s="24"/>
    </row>
    <row r="24" spans="2:11" ht="57.75" customHeight="1" x14ac:dyDescent="0.3">
      <c r="B24" s="20" t="s">
        <v>179</v>
      </c>
      <c r="C24" s="21" t="s">
        <v>180</v>
      </c>
      <c r="D24" s="22" t="s">
        <v>181</v>
      </c>
      <c r="E24" s="22" t="s">
        <v>182</v>
      </c>
      <c r="F24" s="22" t="s">
        <v>183</v>
      </c>
      <c r="G24" s="22" t="s">
        <v>184</v>
      </c>
      <c r="H24" s="22" t="s">
        <v>185</v>
      </c>
      <c r="I24" s="22" t="s">
        <v>186</v>
      </c>
      <c r="J24" s="23">
        <v>1</v>
      </c>
      <c r="K24" s="24"/>
    </row>
    <row r="25" spans="2:11" ht="57.75" customHeight="1" x14ac:dyDescent="0.3">
      <c r="B25" s="25" t="s">
        <v>187</v>
      </c>
      <c r="C25" s="26" t="s">
        <v>188</v>
      </c>
      <c r="D25" s="27" t="s">
        <v>189</v>
      </c>
      <c r="E25" s="27" t="s">
        <v>190</v>
      </c>
      <c r="F25" s="27" t="s">
        <v>175</v>
      </c>
      <c r="G25" s="27" t="s">
        <v>191</v>
      </c>
      <c r="H25" s="27" t="s">
        <v>192</v>
      </c>
      <c r="I25" s="27" t="s">
        <v>193</v>
      </c>
      <c r="J25" s="23">
        <v>0</v>
      </c>
      <c r="K25" s="24"/>
    </row>
    <row r="26" spans="2:11" ht="57.75" customHeight="1" x14ac:dyDescent="0.3">
      <c r="B26" s="20" t="s">
        <v>194</v>
      </c>
      <c r="C26" s="21" t="s">
        <v>195</v>
      </c>
      <c r="D26" s="22" t="s">
        <v>196</v>
      </c>
      <c r="E26" s="22" t="s">
        <v>197</v>
      </c>
      <c r="F26" s="22" t="s">
        <v>198</v>
      </c>
      <c r="G26" s="22" t="s">
        <v>199</v>
      </c>
      <c r="H26" s="22" t="s">
        <v>200</v>
      </c>
      <c r="I26" s="22" t="s">
        <v>201</v>
      </c>
      <c r="J26" s="23">
        <v>4</v>
      </c>
      <c r="K26" s="24"/>
    </row>
    <row r="27" spans="2:11" ht="57.75" customHeight="1" x14ac:dyDescent="0.3">
      <c r="B27" s="25" t="s">
        <v>202</v>
      </c>
      <c r="C27" s="26" t="s">
        <v>203</v>
      </c>
      <c r="D27" s="27" t="s">
        <v>204</v>
      </c>
      <c r="E27" s="27" t="s">
        <v>205</v>
      </c>
      <c r="F27" s="27" t="s">
        <v>206</v>
      </c>
      <c r="G27" s="27" t="s">
        <v>207</v>
      </c>
      <c r="H27" s="27" t="s">
        <v>208</v>
      </c>
      <c r="I27" s="27" t="s">
        <v>209</v>
      </c>
      <c r="J27" s="23">
        <v>2</v>
      </c>
      <c r="K27" s="24"/>
    </row>
    <row r="28" spans="2:11" ht="57.75" customHeight="1" x14ac:dyDescent="0.3">
      <c r="B28" s="20" t="s">
        <v>210</v>
      </c>
      <c r="C28" s="21" t="s">
        <v>211</v>
      </c>
      <c r="D28" s="22" t="s">
        <v>212</v>
      </c>
      <c r="E28" s="22" t="s">
        <v>213</v>
      </c>
      <c r="F28" s="22" t="s">
        <v>214</v>
      </c>
      <c r="G28" s="22" t="s">
        <v>215</v>
      </c>
      <c r="H28" s="22" t="s">
        <v>216</v>
      </c>
      <c r="I28" s="22" t="s">
        <v>217</v>
      </c>
      <c r="J28" s="23">
        <v>1</v>
      </c>
      <c r="K28" s="24"/>
    </row>
    <row r="29" spans="2:11" ht="57.75" customHeight="1" x14ac:dyDescent="0.3">
      <c r="B29" s="25" t="s">
        <v>218</v>
      </c>
      <c r="C29" s="26" t="s">
        <v>219</v>
      </c>
      <c r="D29" s="27" t="s">
        <v>220</v>
      </c>
      <c r="E29" s="27" t="s">
        <v>221</v>
      </c>
      <c r="F29" s="27" t="s">
        <v>222</v>
      </c>
      <c r="G29" s="27" t="s">
        <v>223</v>
      </c>
      <c r="H29" s="27" t="s">
        <v>224</v>
      </c>
      <c r="I29" s="27" t="s">
        <v>225</v>
      </c>
      <c r="J29" s="23">
        <v>0</v>
      </c>
      <c r="K29" s="24"/>
    </row>
    <row r="30" spans="2:11" ht="57.75" customHeight="1" x14ac:dyDescent="0.3">
      <c r="B30" s="20" t="s">
        <v>226</v>
      </c>
      <c r="C30" s="21" t="s">
        <v>227</v>
      </c>
      <c r="D30" s="22" t="s">
        <v>228</v>
      </c>
      <c r="E30" s="22" t="s">
        <v>229</v>
      </c>
      <c r="F30" s="22" t="s">
        <v>230</v>
      </c>
      <c r="G30" s="22" t="s">
        <v>231</v>
      </c>
      <c r="H30" s="22" t="s">
        <v>232</v>
      </c>
      <c r="I30" s="22" t="s">
        <v>233</v>
      </c>
      <c r="J30" s="23">
        <v>1</v>
      </c>
      <c r="K30" s="24"/>
    </row>
    <row r="31" spans="2:11" ht="57.75" customHeight="1" x14ac:dyDescent="0.3">
      <c r="B31" s="25" t="s">
        <v>234</v>
      </c>
      <c r="C31" s="26" t="s">
        <v>235</v>
      </c>
      <c r="D31" s="27" t="s">
        <v>236</v>
      </c>
      <c r="E31" s="27" t="s">
        <v>237</v>
      </c>
      <c r="F31" s="27" t="s">
        <v>238</v>
      </c>
      <c r="G31" s="27" t="s">
        <v>239</v>
      </c>
      <c r="H31" s="27" t="s">
        <v>240</v>
      </c>
      <c r="I31" s="27" t="s">
        <v>241</v>
      </c>
      <c r="J31" s="23">
        <v>2</v>
      </c>
      <c r="K31" s="24"/>
    </row>
    <row r="32" spans="2:11" ht="57.75" customHeight="1" x14ac:dyDescent="0.3">
      <c r="B32" s="20" t="s">
        <v>242</v>
      </c>
      <c r="C32" s="21" t="s">
        <v>243</v>
      </c>
      <c r="D32" s="22" t="s">
        <v>244</v>
      </c>
      <c r="E32" s="22" t="s">
        <v>245</v>
      </c>
      <c r="F32" s="22" t="s">
        <v>246</v>
      </c>
      <c r="G32" s="22" t="s">
        <v>247</v>
      </c>
      <c r="H32" s="22" t="s">
        <v>248</v>
      </c>
      <c r="I32" s="22" t="s">
        <v>249</v>
      </c>
      <c r="J32" s="23">
        <v>3</v>
      </c>
      <c r="K32" s="24"/>
    </row>
    <row r="33" spans="2:11" ht="57.75" customHeight="1" x14ac:dyDescent="0.3">
      <c r="B33" s="25" t="s">
        <v>250</v>
      </c>
      <c r="C33" s="26" t="s">
        <v>251</v>
      </c>
      <c r="D33" s="27" t="s">
        <v>252</v>
      </c>
      <c r="E33" s="27" t="s">
        <v>253</v>
      </c>
      <c r="F33" s="27" t="s">
        <v>254</v>
      </c>
      <c r="G33" s="27" t="s">
        <v>255</v>
      </c>
      <c r="H33" s="27" t="s">
        <v>256</v>
      </c>
      <c r="I33" s="27" t="s">
        <v>257</v>
      </c>
      <c r="J33" s="23">
        <v>3</v>
      </c>
      <c r="K33" s="24"/>
    </row>
    <row r="34" spans="2:11" ht="57.75" customHeight="1" x14ac:dyDescent="0.3">
      <c r="B34" s="20" t="s">
        <v>258</v>
      </c>
      <c r="C34" s="21" t="s">
        <v>259</v>
      </c>
      <c r="D34" s="22" t="s">
        <v>260</v>
      </c>
      <c r="E34" s="22" t="s">
        <v>253</v>
      </c>
      <c r="F34" s="22" t="s">
        <v>254</v>
      </c>
      <c r="G34" s="22" t="s">
        <v>261</v>
      </c>
      <c r="H34" s="22" t="s">
        <v>256</v>
      </c>
      <c r="I34" s="22" t="s">
        <v>262</v>
      </c>
      <c r="J34" s="23">
        <v>2</v>
      </c>
      <c r="K34" s="24"/>
    </row>
    <row r="35" spans="2:11" ht="57.75" customHeight="1" x14ac:dyDescent="0.3">
      <c r="B35" s="25" t="s">
        <v>263</v>
      </c>
      <c r="C35" s="26" t="s">
        <v>264</v>
      </c>
      <c r="D35" s="27" t="s">
        <v>265</v>
      </c>
      <c r="E35" s="27" t="s">
        <v>266</v>
      </c>
      <c r="F35" s="27" t="s">
        <v>267</v>
      </c>
      <c r="G35" s="27" t="s">
        <v>268</v>
      </c>
      <c r="H35" s="27" t="s">
        <v>269</v>
      </c>
      <c r="I35" s="27" t="s">
        <v>270</v>
      </c>
      <c r="J35" s="23">
        <v>1</v>
      </c>
      <c r="K35" s="24"/>
    </row>
  </sheetData>
  <mergeCells count="2">
    <mergeCell ref="B2:H2"/>
    <mergeCell ref="B3:H3"/>
  </mergeCells>
  <dataValidations count="1">
    <dataValidation type="whole" allowBlank="1" errorTitle="Invalid score" error="Enter a whole number from 0 to 5." prompt="0 = Non-existent … 5 = Optimised" sqref="G6:G35 J6:J35" xr:uid="{00000000-0002-0000-0100-000000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1"/>
  <sheetViews>
    <sheetView showGridLines="0" topLeftCell="A16" zoomScale="145" zoomScaleNormal="145" workbookViewId="0">
      <selection activeCell="B5" sqref="B5:G13"/>
    </sheetView>
  </sheetViews>
  <sheetFormatPr defaultColWidth="8.6640625" defaultRowHeight="14.4" x14ac:dyDescent="0.3"/>
  <cols>
    <col min="1" max="1" width="3" customWidth="1"/>
    <col min="2" max="2" width="6" customWidth="1"/>
    <col min="3" max="3" width="34" customWidth="1"/>
    <col min="4" max="4" width="12" customWidth="1"/>
    <col min="5" max="5" width="10" customWidth="1"/>
    <col min="6" max="6" width="12" customWidth="1"/>
    <col min="7" max="7" width="12.5546875" customWidth="1"/>
    <col min="8" max="8" width="5.6640625" customWidth="1"/>
    <col min="9" max="9" width="27.6640625" customWidth="1"/>
    <col min="10" max="10" width="12" customWidth="1"/>
  </cols>
  <sheetData>
    <row r="2" spans="2:11" ht="17.25" customHeight="1" x14ac:dyDescent="0.3">
      <c r="B2" s="44" t="s">
        <v>271</v>
      </c>
      <c r="C2" s="44"/>
      <c r="D2" s="44"/>
      <c r="E2" s="44"/>
      <c r="F2" s="44"/>
    </row>
    <row r="3" spans="2:11" ht="14.25" customHeight="1" x14ac:dyDescent="0.3">
      <c r="B3" s="45" t="s">
        <v>272</v>
      </c>
      <c r="C3" s="45"/>
      <c r="D3" s="45"/>
      <c r="E3" s="45"/>
      <c r="F3" s="45"/>
    </row>
    <row r="5" spans="2:11" ht="24" customHeight="1" x14ac:dyDescent="0.3">
      <c r="B5" s="19" t="s">
        <v>273</v>
      </c>
      <c r="C5" s="2" t="s">
        <v>274</v>
      </c>
      <c r="D5" s="19" t="s">
        <v>275</v>
      </c>
      <c r="E5" s="19" t="s">
        <v>276</v>
      </c>
      <c r="F5" s="19" t="s">
        <v>277</v>
      </c>
      <c r="G5" s="19" t="s">
        <v>278</v>
      </c>
    </row>
    <row r="6" spans="2:11" ht="18" customHeight="1" x14ac:dyDescent="0.3">
      <c r="B6" s="20" t="s">
        <v>279</v>
      </c>
      <c r="C6" s="28" t="s">
        <v>280</v>
      </c>
      <c r="D6" s="29">
        <f>IF(COUNT(Questionnaire!J6:J10)=0,0,AVERAGE(Questionnaire!J6:J10))</f>
        <v>0.8</v>
      </c>
      <c r="E6" s="30">
        <v>1</v>
      </c>
      <c r="F6" s="31">
        <f t="shared" ref="F6:F11" si="0">D6*E6</f>
        <v>0.8</v>
      </c>
      <c r="G6" s="32" t="str">
        <f t="shared" ref="G6:G11" si="1">IF(D6&gt;=4.5,"Optimised",IF(D6&gt;=3.5,"Managed",IF(D6&gt;=2.5,"Defined",IF(D6&gt;=1.5,"Repeatable",IF(D6&gt;=0.5,"Initial","Non-existent")))))</f>
        <v>Initial</v>
      </c>
    </row>
    <row r="7" spans="2:11" ht="18" customHeight="1" x14ac:dyDescent="0.3">
      <c r="B7" s="25" t="s">
        <v>281</v>
      </c>
      <c r="C7" s="33" t="s">
        <v>282</v>
      </c>
      <c r="D7" s="29">
        <f>IF(COUNT(Questionnaire!J11:J14)=0,0,AVERAGE(Questionnaire!J11:J14))</f>
        <v>1.5</v>
      </c>
      <c r="E7" s="30">
        <v>1</v>
      </c>
      <c r="F7" s="34">
        <f t="shared" si="0"/>
        <v>1.5</v>
      </c>
      <c r="G7" s="35" t="str">
        <f t="shared" si="1"/>
        <v>Repeatable</v>
      </c>
    </row>
    <row r="8" spans="2:11" ht="18" customHeight="1" x14ac:dyDescent="0.3">
      <c r="B8" s="20" t="s">
        <v>283</v>
      </c>
      <c r="C8" s="28" t="s">
        <v>284</v>
      </c>
      <c r="D8" s="29">
        <f>IF(COUNT(Questionnaire!J15:J20)=0,0,AVERAGE(Questionnaire!J15:J20))</f>
        <v>0.66666666666666663</v>
      </c>
      <c r="E8" s="30">
        <v>1</v>
      </c>
      <c r="F8" s="31">
        <f t="shared" si="0"/>
        <v>0.66666666666666663</v>
      </c>
      <c r="G8" s="32" t="str">
        <f t="shared" si="1"/>
        <v>Initial</v>
      </c>
    </row>
    <row r="9" spans="2:11" ht="18" customHeight="1" x14ac:dyDescent="0.3">
      <c r="B9" s="25" t="s">
        <v>285</v>
      </c>
      <c r="C9" s="33" t="s">
        <v>286</v>
      </c>
      <c r="D9" s="29">
        <f>IF(COUNT(Questionnaire!J21:J25)=0,0,AVERAGE(Questionnaire!J21:J25))</f>
        <v>1</v>
      </c>
      <c r="E9" s="30">
        <v>1</v>
      </c>
      <c r="F9" s="34">
        <f t="shared" si="0"/>
        <v>1</v>
      </c>
      <c r="G9" s="35" t="str">
        <f t="shared" si="1"/>
        <v>Initial</v>
      </c>
    </row>
    <row r="10" spans="2:11" ht="18" customHeight="1" x14ac:dyDescent="0.3">
      <c r="B10" s="20" t="s">
        <v>287</v>
      </c>
      <c r="C10" s="28" t="s">
        <v>288</v>
      </c>
      <c r="D10" s="29">
        <f>IF(COUNT(Questionnaire!J26:J30)=0,0,AVERAGE(Questionnaire!J26:J30))</f>
        <v>1.6</v>
      </c>
      <c r="E10" s="30">
        <v>1</v>
      </c>
      <c r="F10" s="31">
        <f t="shared" si="0"/>
        <v>1.6</v>
      </c>
      <c r="G10" s="32" t="str">
        <f t="shared" si="1"/>
        <v>Repeatable</v>
      </c>
    </row>
    <row r="11" spans="2:11" ht="18" customHeight="1" x14ac:dyDescent="0.3">
      <c r="B11" s="25" t="s">
        <v>289</v>
      </c>
      <c r="C11" s="33" t="s">
        <v>290</v>
      </c>
      <c r="D11" s="29">
        <f>IF(COUNT(Questionnaire!J31:J35)=0,0,AVERAGE(Questionnaire!J31:J35))</f>
        <v>2.2000000000000002</v>
      </c>
      <c r="E11" s="30">
        <v>1</v>
      </c>
      <c r="F11" s="34">
        <f t="shared" si="0"/>
        <v>2.2000000000000002</v>
      </c>
      <c r="G11" s="35" t="str">
        <f t="shared" si="1"/>
        <v>Repeatable</v>
      </c>
    </row>
    <row r="12" spans="2:11" ht="21.75" customHeight="1" x14ac:dyDescent="0.3">
      <c r="B12" s="46" t="s">
        <v>291</v>
      </c>
      <c r="C12" s="46"/>
      <c r="D12" s="36">
        <f>IF(SUM(E6:E11)=0,0,SUMPRODUCT(D6:D11,E6:E11)/SUM(E6:E11))</f>
        <v>1.2944444444444445</v>
      </c>
      <c r="E12" s="37"/>
      <c r="F12" s="1" t="s">
        <v>292</v>
      </c>
      <c r="G12" s="38" t="str">
        <f>IF(D12&gt;=4.5,"Optimised",IF(D12&gt;=3.5,"Managed",IF(D12&gt;=2.5,"Defined (Fair)",IF(D12&gt;=1.5,"Repeatable",IF(D12&gt;=0.5,"Initial","Non-existent")))))</f>
        <v>Initial</v>
      </c>
    </row>
    <row r="13" spans="2:11" ht="14.25" customHeight="1" x14ac:dyDescent="0.3">
      <c r="B13" s="45" t="s">
        <v>293</v>
      </c>
      <c r="C13" s="45"/>
      <c r="D13" s="45"/>
      <c r="E13" s="45"/>
      <c r="F13" s="45"/>
      <c r="G13" s="45"/>
    </row>
    <row r="15" spans="2:11" ht="14.25" customHeight="1" x14ac:dyDescent="0.3">
      <c r="I15" s="39" t="s">
        <v>274</v>
      </c>
      <c r="J15" s="39" t="s">
        <v>294</v>
      </c>
      <c r="K15" s="39" t="s">
        <v>295</v>
      </c>
    </row>
    <row r="16" spans="2:11" ht="14.25" customHeight="1" x14ac:dyDescent="0.3">
      <c r="I16" s="40" t="s">
        <v>280</v>
      </c>
      <c r="J16" s="41">
        <f t="shared" ref="J16:J21" si="2">D6</f>
        <v>0.8</v>
      </c>
      <c r="K16">
        <v>3</v>
      </c>
    </row>
    <row r="17" spans="9:11" ht="14.25" customHeight="1" x14ac:dyDescent="0.3">
      <c r="I17" s="40" t="s">
        <v>282</v>
      </c>
      <c r="J17" s="41">
        <f t="shared" si="2"/>
        <v>1.5</v>
      </c>
      <c r="K17">
        <v>3</v>
      </c>
    </row>
    <row r="18" spans="9:11" ht="14.25" customHeight="1" x14ac:dyDescent="0.3">
      <c r="I18" s="40" t="s">
        <v>284</v>
      </c>
      <c r="J18" s="41">
        <f t="shared" si="2"/>
        <v>0.66666666666666663</v>
      </c>
      <c r="K18">
        <v>3</v>
      </c>
    </row>
    <row r="19" spans="9:11" ht="14.25" customHeight="1" x14ac:dyDescent="0.3">
      <c r="I19" s="40" t="s">
        <v>286</v>
      </c>
      <c r="J19" s="41">
        <f t="shared" si="2"/>
        <v>1</v>
      </c>
      <c r="K19">
        <v>3</v>
      </c>
    </row>
    <row r="20" spans="9:11" ht="14.25" customHeight="1" x14ac:dyDescent="0.3">
      <c r="I20" s="40" t="s">
        <v>288</v>
      </c>
      <c r="J20" s="41">
        <f t="shared" si="2"/>
        <v>1.6</v>
      </c>
      <c r="K20">
        <v>3</v>
      </c>
    </row>
    <row r="21" spans="9:11" ht="14.25" customHeight="1" x14ac:dyDescent="0.3">
      <c r="I21" s="40" t="s">
        <v>290</v>
      </c>
      <c r="J21" s="41">
        <f t="shared" si="2"/>
        <v>2.2000000000000002</v>
      </c>
      <c r="K21">
        <v>3</v>
      </c>
    </row>
  </sheetData>
  <mergeCells count="4">
    <mergeCell ref="B2:F2"/>
    <mergeCell ref="B3:F3"/>
    <mergeCell ref="B12:C12"/>
    <mergeCell ref="B13:G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2"/>
  <sheetViews>
    <sheetView showGridLines="0" tabSelected="1" zoomScaleNormal="100" workbookViewId="0">
      <selection activeCell="D27" sqref="D27"/>
    </sheetView>
  </sheetViews>
  <sheetFormatPr defaultColWidth="8.6640625" defaultRowHeight="14.4" x14ac:dyDescent="0.3"/>
  <cols>
    <col min="1" max="1" width="3" customWidth="1"/>
    <col min="2" max="2" width="10" customWidth="1"/>
    <col min="3" max="3" width="22" customWidth="1"/>
    <col min="4" max="4" width="58" customWidth="1"/>
  </cols>
  <sheetData>
    <row r="2" spans="2:4" ht="17.25" customHeight="1" x14ac:dyDescent="0.3">
      <c r="B2" s="44" t="s">
        <v>296</v>
      </c>
      <c r="C2" s="44"/>
      <c r="D2" s="44"/>
    </row>
    <row r="4" spans="2:4" ht="14.25" customHeight="1" x14ac:dyDescent="0.3">
      <c r="B4" s="19" t="s">
        <v>33</v>
      </c>
      <c r="C4" s="2" t="s">
        <v>297</v>
      </c>
      <c r="D4" s="2" t="s">
        <v>298</v>
      </c>
    </row>
    <row r="5" spans="2:4" ht="30" customHeight="1" x14ac:dyDescent="0.3">
      <c r="B5" s="25" t="s">
        <v>299</v>
      </c>
      <c r="C5" s="42" t="s">
        <v>300</v>
      </c>
      <c r="D5" s="33" t="s">
        <v>301</v>
      </c>
    </row>
    <row r="6" spans="2:4" ht="30" customHeight="1" x14ac:dyDescent="0.3">
      <c r="B6" s="20" t="s">
        <v>302</v>
      </c>
      <c r="C6" s="43" t="s">
        <v>303</v>
      </c>
      <c r="D6" s="28" t="s">
        <v>304</v>
      </c>
    </row>
    <row r="7" spans="2:4" ht="30" customHeight="1" x14ac:dyDescent="0.3">
      <c r="B7" s="25" t="s">
        <v>305</v>
      </c>
      <c r="C7" s="42" t="s">
        <v>306</v>
      </c>
      <c r="D7" s="33" t="s">
        <v>307</v>
      </c>
    </row>
    <row r="8" spans="2:4" ht="30" customHeight="1" x14ac:dyDescent="0.3">
      <c r="B8" s="20" t="s">
        <v>308</v>
      </c>
      <c r="C8" s="43" t="s">
        <v>309</v>
      </c>
      <c r="D8" s="28" t="s">
        <v>310</v>
      </c>
    </row>
    <row r="9" spans="2:4" ht="30" customHeight="1" x14ac:dyDescent="0.3">
      <c r="B9" s="25" t="s">
        <v>311</v>
      </c>
      <c r="C9" s="42" t="s">
        <v>312</v>
      </c>
      <c r="D9" s="33" t="s">
        <v>313</v>
      </c>
    </row>
    <row r="10" spans="2:4" ht="30" customHeight="1" x14ac:dyDescent="0.3">
      <c r="B10" s="20" t="s">
        <v>314</v>
      </c>
      <c r="C10" s="43" t="s">
        <v>315</v>
      </c>
      <c r="D10" s="28" t="s">
        <v>316</v>
      </c>
    </row>
    <row r="12" spans="2:4" ht="48" customHeight="1" x14ac:dyDescent="0.3">
      <c r="B12" s="57" t="s">
        <v>317</v>
      </c>
      <c r="C12" s="57"/>
      <c r="D12" s="57"/>
    </row>
  </sheetData>
  <mergeCells count="2">
    <mergeCell ref="B2:D2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&amp; Profile</vt:lpstr>
      <vt:lpstr>Questionnaire</vt:lpstr>
      <vt:lpstr>Scorecard</vt:lpstr>
      <vt:lpstr>Maturity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Eugene Sampson</cp:lastModifiedBy>
  <cp:revision>3</cp:revision>
  <dcterms:created xsi:type="dcterms:W3CDTF">2026-06-22T22:09:47Z</dcterms:created>
  <dcterms:modified xsi:type="dcterms:W3CDTF">2026-07-25T04:52:02Z</dcterms:modified>
  <dc:language>en-US</dc:language>
</cp:coreProperties>
</file>