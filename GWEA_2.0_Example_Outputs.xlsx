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 · Read me" sheetId="1" state="visible" r:id="rId3"/>
    <sheet name="1 · Catalogue (P1)" sheetId="2" state="visible" r:id="rId4"/>
    <sheet name="2 · Assessment (P2)" sheetId="3" state="visible" r:id="rId5"/>
    <sheet name="3 · Roadmap (P3)" sheetId="4" state="visible" r:id="rId6"/>
    <sheet name="4 · Remedial (P4)" sheetId="5" state="visible" r:id="rId7"/>
    <sheet name="5 · Governance (P5)" sheetId="6" state="visible" r:id="rId8"/>
    <sheet name="EE · Catalogue" sheetId="7" state="visible" r:id="rId9"/>
    <sheet name="EE · Readines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<sst xmlns="http://schemas.openxmlformats.org/spreadsheetml/2006/main" count="426" uniqueCount="281">
  <si>
    <t xml:space="preserve">GWEA 2.0  ·  EXAMPLE OUTPUTS</t>
  </si>
  <si>
    <t xml:space="preserve">GWEA 2.0 — what each stage produces</t>
  </si>
  <si>
    <t xml:space="preserve">A gallery of worked example outputs · Department of Human Settlements (Vote 33) · Cycle C2 · 2026/27 baseline</t>
  </si>
  <si>
    <t xml:space="preserve">Tab</t>
  </si>
  <si>
    <t xml:space="preserve">What output it shows</t>
  </si>
  <si>
    <t xml:space="preserve">1 · Catalogue (P1)</t>
  </si>
  <si>
    <t xml:space="preserve">Phase 1 output — the categorised architecture catalogue: 15 elements in five layers, populated.</t>
  </si>
  <si>
    <t xml:space="preserve">2 · Assessment (P2)</t>
  </si>
  <si>
    <t xml:space="preserve">Phase 2 output — maturity scores per element, zones, a spider chart and a chain (root-cause) analysis.</t>
  </si>
  <si>
    <t xml:space="preserve">3 · Roadmap (P3)</t>
  </si>
  <si>
    <t xml:space="preserve">Phase 3 output — prioritised focus areas (by weighted gap) and a three-horizon transition roadmap.</t>
  </si>
  <si>
    <t xml:space="preserve">4 · Remedial (P4)</t>
  </si>
  <si>
    <t xml:space="preserve">Phase 4 output — the remedial-action portfolio / delivery dashboard with RAG status.</t>
  </si>
  <si>
    <t xml:space="preserve">5 · Governance (P5)</t>
  </si>
  <si>
    <t xml:space="preserve">Phase 5 output — ARB register, principle adherence and transformation impact.</t>
  </si>
  <si>
    <t xml:space="preserve">EE · Catalogue</t>
  </si>
  <si>
    <t xml:space="preserve">Enabling Environment cataloguing — the register of what exists per readiness dimension, in five clusters.</t>
  </si>
  <si>
    <t xml:space="preserve">EE · Readiness</t>
  </si>
  <si>
    <t xml:space="preserve">Enabling Environment assessment — 11-dimension readiness, a spider chart and the hard-gate verdict.</t>
  </si>
  <si>
    <t xml:space="preserve">The enabling environment is catalogued and assessed exactly like the architecture: EE · Catalogue is its Phase-1 register (what exists per dimension); EE · Readiness is its Phase-2 assessment. Every figure is illustrative training data built from the DHS PEAR workbook. Maturity is scored 0–5 (EE readiness 0–4) and classified into four zones under worst-dimension-wins.</t>
  </si>
  <si>
    <t xml:space="preserve">PHASE 1 OUTPUT  ·  ARCHITECTURE CATALOGUE</t>
  </si>
  <si>
    <t xml:space="preserve">Phase 1 — Architecture Catalogue</t>
  </si>
  <si>
    <t xml:space="preserve">The categorised register of what the department is and has — 15 elements across five layers, populated with real items.</t>
  </si>
  <si>
    <t xml:space="preserve">Grouping</t>
  </si>
  <si>
    <t xml:space="preserve">Element / dimension</t>
  </si>
  <si>
    <t xml:space="preserve">Catalogue items (illustrative)</t>
  </si>
  <si>
    <t xml:space="preserve">Count</t>
  </si>
  <si>
    <t xml:space="preserve">Motivation</t>
  </si>
  <si>
    <t xml:space="preserve">1. Outcome</t>
  </si>
  <si>
    <t xml:space="preserve">Sustainable human settlements &amp; improved household quality of life · Fully subsidised houses delivered · Security of tenure — title deeds registered · Informal settlements upgraded · Serviced sites delivered · Affordable rental &amp; social housing delivered · Affordable housing finance (First Home Finance)</t>
  </si>
  <si>
    <t xml:space="preserve">2. Client</t>
  </si>
  <si>
    <t xml:space="preserve">Qualifying low-income households (subsidy applicants) · Informal settlement households · First-time home buyers (gap market) · Social / rental housing tenants · Provincial departments (delivery agents) · Metropolitan municipalities (delivery agents) · Home builders / property practitioners (regulated) · Community scheme owners and occupiers · Emergency housing beneficiaries (disaster-affected) · Digitally excluded applicants (rural, elderly)</t>
  </si>
  <si>
    <t xml:space="preserve">3. Value Proposition</t>
  </si>
  <si>
    <t xml:space="preserve">A subsidised home for qualifying households · Secure, registered title to your home · Basic services and tenure in upgraded settlements · Access to affordable housing finance · Published service standards (Batho Pele charter)</t>
  </si>
  <si>
    <t xml:space="preserve">Strategy</t>
  </si>
  <si>
    <t xml:space="preserve">4. Capability</t>
  </si>
  <si>
    <t xml:space="preserve">Administration &amp; corporate governance · Integrated human settlements planning &amp; development · Grant management (HSDG / USDG) · Informal settlements upgrading · Rental and social housing · Affordable housing finance facilitation · Public entity oversight · Monitoring &amp; evaluation · Beneficiary management &amp; subsidy administration · ICT and digital services</t>
  </si>
  <si>
    <t xml:space="preserve">5. Location</t>
  </si>
  <si>
    <t xml:space="preserve">National (DHS head office) · Eastern Cape · Free State · Gauteng · KwaZulu-Natal · Limpopo · Mpumalanga · North West · Northern Cape · Western Cape</t>
  </si>
  <si>
    <t xml:space="preserve">Business</t>
  </si>
  <si>
    <t xml:space="preserve">6. Product</t>
  </si>
  <si>
    <t xml:space="preserve">Housing subsidy / BNG house · Title deed · Serviced site · Rental / social housing unit · First Home Finance subsidy</t>
  </si>
  <si>
    <t xml:space="preserve">7. Service</t>
  </si>
  <si>
    <t xml:space="preserve">Subsidy application &amp; approval · Beneficiary registration · Title-deed issuance · Informal-settlement upgrading · Housing consumer complaints</t>
  </si>
  <si>
    <t xml:space="preserve">8. Process</t>
  </si>
  <si>
    <t xml:space="preserve">Subsidy adjudication process · Project approval &amp; disbursement · Beneficiary verification · Title transfer &amp; registration</t>
  </si>
  <si>
    <t xml:space="preserve">IS Solution</t>
  </si>
  <si>
    <t xml:space="preserve">9. Application</t>
  </si>
  <si>
    <t xml:space="preserve">Housing Subsidy System (HSS) · National Housing Needs Register · Grant management spreadsheets · Provincial project registers</t>
  </si>
  <si>
    <t xml:space="preserve">10. Data Access</t>
  </si>
  <si>
    <t xml:space="preserve">HSS ↔ Deeds Office · HSS ↔ provincial systems · Needs Register ↔ municipalities · Beneficiary ↔ Home Affairs (ID verification)</t>
  </si>
  <si>
    <t xml:space="preserve">11. Master Data</t>
  </si>
  <si>
    <t xml:space="preserve">Beneficiary master · Project master · Property / erf master · Provincial delivery-agent master</t>
  </si>
  <si>
    <t xml:space="preserve">12. Transaction Data</t>
  </si>
  <si>
    <t xml:space="preserve">Subsidy approvals · Grant disbursements · Title registrations · Complaint records</t>
  </si>
  <si>
    <t xml:space="preserve">Technology</t>
  </si>
  <si>
    <t xml:space="preserve">13. Technology Internal</t>
  </si>
  <si>
    <t xml:space="preserve">Departmental data centre / SITA hosting · Provincial servers · End-user workstations</t>
  </si>
  <si>
    <t xml:space="preserve">14. Technology Integration</t>
  </si>
  <si>
    <t xml:space="preserve">Batch file exchange (SFTP) · Point-to-point database links · Manual re-keying between systems</t>
  </si>
  <si>
    <t xml:space="preserve">15. Technology External</t>
  </si>
  <si>
    <t xml:space="preserve">Deeds Office (DALRRD) · Home Affairs (DHA) · Municipalities · National Housing Finance Corporation</t>
  </si>
  <si>
    <t xml:space="preserve">PHASE 2 OUTPUT  ·  MATURITY ASSESSMENT</t>
  </si>
  <si>
    <t xml:space="preserve">Phase 2 — Maturity Assessment</t>
  </si>
  <si>
    <t xml:space="preserve">Each element scored 0–5 (worst-dimension-wins), classified into a zone, with the spider chart and a chain analysis.</t>
  </si>
  <si>
    <t xml:space="preserve">#</t>
  </si>
  <si>
    <t xml:space="preserve">Element</t>
  </si>
  <si>
    <t xml:space="preserve">Layer</t>
  </si>
  <si>
    <t xml:space="preserve">Items</t>
  </si>
  <si>
    <t xml:space="preserve">Score (0–5)</t>
  </si>
  <si>
    <t xml:space="preserve">Target</t>
  </si>
  <si>
    <t xml:space="preserve">Weight</t>
  </si>
  <si>
    <t xml:space="preserve">Score × Weight</t>
  </si>
  <si>
    <t xml:space="preserve">Zone</t>
  </si>
  <si>
    <t xml:space="preserve">Current</t>
  </si>
  <si>
    <t xml:space="preserve">Outcome</t>
  </si>
  <si>
    <t xml:space="preserve">Intervene</t>
  </si>
  <si>
    <t xml:space="preserve">Client</t>
  </si>
  <si>
    <t xml:space="preserve">Value Proposition</t>
  </si>
  <si>
    <t xml:space="preserve">Value Prop.</t>
  </si>
  <si>
    <t xml:space="preserve">Capability</t>
  </si>
  <si>
    <t xml:space="preserve">Location</t>
  </si>
  <si>
    <t xml:space="preserve">Product</t>
  </si>
  <si>
    <t xml:space="preserve">Service</t>
  </si>
  <si>
    <t xml:space="preserve">Process</t>
  </si>
  <si>
    <t xml:space="preserve">Application</t>
  </si>
  <si>
    <t xml:space="preserve">Data Access</t>
  </si>
  <si>
    <t xml:space="preserve">Master Data</t>
  </si>
  <si>
    <t xml:space="preserve">Transaction Data</t>
  </si>
  <si>
    <t xml:space="preserve">Txn Data</t>
  </si>
  <si>
    <t xml:space="preserve">Technology Internal</t>
  </si>
  <si>
    <t xml:space="preserve">Tech Int.</t>
  </si>
  <si>
    <t xml:space="preserve">Technology Integration</t>
  </si>
  <si>
    <t xml:space="preserve">Tech Integ.</t>
  </si>
  <si>
    <t xml:space="preserve">Technology External</t>
  </si>
  <si>
    <t xml:space="preserve">Tech Ext.</t>
  </si>
  <si>
    <t xml:space="preserve">ENTERPRISE MATURITY INDEX  (÷5 × 100)</t>
  </si>
  <si>
    <t xml:space="preserve">Chain analysis — worked root cause  (item score = MIN(ladder, gates, entity cap))</t>
  </si>
  <si>
    <t xml:space="preserve">Catalogue item</t>
  </si>
  <si>
    <t xml:space="preserve">Ladder</t>
  </si>
  <si>
    <t xml:space="preserve">Worst gate</t>
  </si>
  <si>
    <t xml:space="preserve">Entity cap</t>
  </si>
  <si>
    <t xml:space="preserve">Score</t>
  </si>
  <si>
    <t xml:space="preserve">Binding dimension</t>
  </si>
  <si>
    <t xml:space="preserve">Data Access — beneficiary data exchange</t>
  </si>
  <si>
    <t xml:space="preserve">1.5</t>
  </si>
  <si>
    <t xml:space="preserve">1.3 unencrypted/unlogged</t>
  </si>
  <si>
    <t xml:space="preserve">1 (one integration engineer)</t>
  </si>
  <si>
    <t xml:space="preserve">0.5</t>
  </si>
  <si>
    <t xml:space="preserve">10.G1 + skills cap</t>
  </si>
  <si>
    <t xml:space="preserve">Client — digitally excluded applicants</t>
  </si>
  <si>
    <t xml:space="preserve">0</t>
  </si>
  <si>
    <t xml:space="preserve">—</t>
  </si>
  <si>
    <t xml:space="preserve">2.L no digital channel</t>
  </si>
  <si>
    <t xml:space="preserve">Outcome — informal settlements upgraded</t>
  </si>
  <si>
    <t xml:space="preserve">3</t>
  </si>
  <si>
    <t xml:space="preserve">5</t>
  </si>
  <si>
    <t xml:space="preserve">1.L managed</t>
  </si>
  <si>
    <t xml:space="preserve">Improve</t>
  </si>
  <si>
    <t xml:space="preserve">PHASE 3 OUTPUT  ·  PRIORITISATION &amp; ROADMAP</t>
  </si>
  <si>
    <t xml:space="preserve">Phase 3 — Prioritisation &amp; Roadmap</t>
  </si>
  <si>
    <t xml:space="preserve">Focus areas ranked by weighted gap = (target − current) × weight, then sequenced into three transition horizons.</t>
  </si>
  <si>
    <t xml:space="preserve">Rank</t>
  </si>
  <si>
    <t xml:space="preserve">Weighted gap</t>
  </si>
  <si>
    <t xml:space="preserve">Transition roadmap — three horizons</t>
  </si>
  <si>
    <t xml:space="preserve">Horizon</t>
  </si>
  <si>
    <t xml:space="preserve">Theme</t>
  </si>
  <si>
    <t xml:space="preserve">When</t>
  </si>
  <si>
    <t xml:space="preserve">Transition-architecture moves</t>
  </si>
  <si>
    <t xml:space="preserve">H1</t>
  </si>
  <si>
    <t xml:space="preserve">Stabilise &amp; enable</t>
  </si>
  <si>
    <t xml:space="preserve">0–12 months</t>
  </si>
  <si>
    <t xml:space="preserve">Stand up change-and-delivery capability (clears the hard gate) · appoint a data steward and start the beneficiary golden record · replace hand-keying / flash-drives with a secured, logged file exchange (POPIA) · pilot one governed API for beneficiary look-up</t>
  </si>
  <si>
    <t xml:space="preserve">H2</t>
  </si>
  <si>
    <t xml:space="preserve">Integrate</t>
  </si>
  <si>
    <t xml:space="preserve">12–24 months</t>
  </si>
  <si>
    <t xml:space="preserve">MIOS-conformant integration layer / API gateway (PSR Reg 97) · departmental apps migrated to transversal governed platforms · beneficiary golden record consumed via API by provinces &amp; metros · online subsidy application with status tracking</t>
  </si>
  <si>
    <t xml:space="preserve">H3</t>
  </si>
  <si>
    <t xml:space="preserve">Transform to DPI</t>
  </si>
  <si>
    <t xml:space="preserve">24–36 months</t>
  </si>
  <si>
    <t xml:space="preserve">Federated national interoperability (X-Road / DPI) for tenure &amp; title · end-to-end citizen services pre-filled from national DPI · real-time verification of title deeds and subsidy eligibility</t>
  </si>
  <si>
    <t xml:space="preserve">HARD GATE: the enabling-environment assessment finds no standing change-and-delivery capability. No ambitious architecture change may be scheduled until Horizon-1 builds it — see the EE · Readiness tab.</t>
  </si>
  <si>
    <t xml:space="preserve">PHASE 4 OUTPUT  ·  REMEDIAL ACTION PORTFOLIO</t>
  </si>
  <si>
    <t xml:space="preserve">Phase 4 — Remedial Action Portfolio</t>
  </si>
  <si>
    <t xml:space="preserve">The roadmap's transition architectures tracked as projects — stage, RAG status and progress.</t>
  </si>
  <si>
    <t xml:space="preserve">Project</t>
  </si>
  <si>
    <t xml:space="preserve">Addresses</t>
  </si>
  <si>
    <t xml:space="preserve">Stage</t>
  </si>
  <si>
    <t xml:space="preserve">RAG</t>
  </si>
  <si>
    <t xml:space="preserve">Progress %</t>
  </si>
  <si>
    <t xml:space="preserve">Change &amp; Delivery Capability (PMO)</t>
  </si>
  <si>
    <t xml:space="preserve">Hard gate</t>
  </si>
  <si>
    <t xml:space="preserve">In delivery</t>
  </si>
  <si>
    <t xml:space="preserve">Amber</t>
  </si>
  <si>
    <t xml:space="preserve">Beneficiary Golden Record &amp; stewardship</t>
  </si>
  <si>
    <t xml:space="preserve">Green</t>
  </si>
  <si>
    <t xml:space="preserve">Secure Data Exchange (retire re-keying)</t>
  </si>
  <si>
    <t xml:space="preserve">MIOS-conformant Integration Layer</t>
  </si>
  <si>
    <t xml:space="preserve">Tech Integration</t>
  </si>
  <si>
    <t xml:space="preserve">Design</t>
  </si>
  <si>
    <t xml:space="preserve">Red</t>
  </si>
  <si>
    <t xml:space="preserve">Subsidy Application self-service</t>
  </si>
  <si>
    <t xml:space="preserve">Application modernisation (→ transversal)</t>
  </si>
  <si>
    <t xml:space="preserve">Initiation</t>
  </si>
  <si>
    <t xml:space="preserve">Sequencing discipline: the PMO (hard gate) is most advanced; the integration layer is deliberately held at Red — it is blocked until delivery capability and the golden record mature. Every project traces to a Phase-3 focus area.</t>
  </si>
  <si>
    <t xml:space="preserve">PHASE 5 OUTPUT  ·  GOVERNANCE &amp; REPORTING</t>
  </si>
  <si>
    <t xml:space="preserve">Phase 5 — Governance &amp; Reporting</t>
  </si>
  <si>
    <t xml:space="preserve">ARB submission register, principle-adherence scorecard and transformation impact — feeding the next cycle.</t>
  </si>
  <si>
    <t xml:space="preserve">Architecture Review Board — submission register</t>
  </si>
  <si>
    <t xml:space="preserve">Initiative</t>
  </si>
  <si>
    <t xml:space="preserve">ARB decision</t>
  </si>
  <si>
    <t xml:space="preserve">Standards alignment</t>
  </si>
  <si>
    <t xml:space="preserve">Approved</t>
  </si>
  <si>
    <t xml:space="preserve">Full</t>
  </si>
  <si>
    <t xml:space="preserve">Beneficiary Golden Record</t>
  </si>
  <si>
    <t xml:space="preserve">Secure Data Exchange</t>
  </si>
  <si>
    <t xml:space="preserve">Approved with conditions</t>
  </si>
  <si>
    <t xml:space="preserve">Partial</t>
  </si>
  <si>
    <t xml:space="preserve">Integration Layer (MIOS)</t>
  </si>
  <si>
    <t xml:space="preserve">Under review</t>
  </si>
  <si>
    <t xml:space="preserve">Pending</t>
  </si>
  <si>
    <t xml:space="preserve">Subsidy self-service</t>
  </si>
  <si>
    <t xml:space="preserve">Referred back</t>
  </si>
  <si>
    <t xml:space="preserve">Gaps</t>
  </si>
  <si>
    <t xml:space="preserve">Principle adherence</t>
  </si>
  <si>
    <t xml:space="preserve">GWEA / DPI principle</t>
  </si>
  <si>
    <t xml:space="preserve">Adherence %</t>
  </si>
  <si>
    <t xml:space="preserve">Interoperability by default (MIOS)</t>
  </si>
  <si>
    <t xml:space="preserve">Data as a shared asset (no silos)</t>
  </si>
  <si>
    <t xml:space="preserve">Digital &amp; self-service first</t>
  </si>
  <si>
    <t xml:space="preserve">Security &amp; privacy by design (POPIA)</t>
  </si>
  <si>
    <t xml:space="preserve">Reuse before build</t>
  </si>
  <si>
    <t xml:space="preserve">Impact of the transformation</t>
  </si>
  <si>
    <t xml:space="preserve">Outcome measure</t>
  </si>
  <si>
    <t xml:space="preserve">Baseline</t>
  </si>
  <si>
    <t xml:space="preserve">Subsidy applications lodged digitally</t>
  </si>
  <si>
    <t xml:space="preserve">0%</t>
  </si>
  <si>
    <t xml:space="preserve">22%</t>
  </si>
  <si>
    <t xml:space="preserve">Beneficiary records with a golden record</t>
  </si>
  <si>
    <t xml:space="preserve">41%</t>
  </si>
  <si>
    <t xml:space="preserve">Title-deed status verifiable in real time</t>
  </si>
  <si>
    <t xml:space="preserve">No</t>
  </si>
  <si>
    <t xml:space="preserve">Pilot</t>
  </si>
  <si>
    <t xml:space="preserve">Enterprise maturity index</t>
  </si>
  <si>
    <t xml:space="preserve">26</t>
  </si>
  <si>
    <t xml:space="preserve">31</t>
  </si>
  <si>
    <t xml:space="preserve">ENABLING ENVIRONMENT  ·  CATALOGUE</t>
  </si>
  <si>
    <t xml:space="preserve">Enabling Environment — Catalogue</t>
  </si>
  <si>
    <t xml:space="preserve">The Phase-1-style register of the enabling environment: what exists per readiness dimension, grouped into five clusters.</t>
  </si>
  <si>
    <t xml:space="preserve">Enabling-environment items catalogued (illustrative)</t>
  </si>
  <si>
    <t xml:space="preserve">Mandate &amp; Money</t>
  </si>
  <si>
    <t xml:space="preserve">1. Policy &amp; regulatory reform</t>
  </si>
  <si>
    <t xml:space="preserve">Housing Act 107 of 1997 · Prevention of Illegal Eviction (PIE) Act · PSR delegations &amp; CGICTPF adoption · MIOS conformance mandate (PSR Reg 97) · Provincial housing legislation</t>
  </si>
  <si>
    <t xml:space="preserve">5. Funding &amp; financial sustainability</t>
  </si>
  <si>
    <t xml:space="preserve">Human Settlements Development Grant (HSDG) line · Urban Settlements Development Grant (USDG) line · Departmental ICT budget line · MTEF three-year allocation · APP budget programme structure</t>
  </si>
  <si>
    <t xml:space="preserve">6. Procurement &amp; supply-chain agility</t>
  </si>
  <si>
    <t xml:space="preserve">SITA mandated procurement channel · Departmental SCM policy · Transversal term contracts · Tender / bid register · Innovation-procurement route (not yet in place)</t>
  </si>
  <si>
    <t xml:space="preserve">Leadership</t>
  </si>
  <si>
    <t xml:space="preserve">4. Executive sponsorship &amp; political will</t>
  </si>
  <si>
    <t xml:space="preserve">Director-General digital mandate · ICT governance charter · GITO / DG steering forum · Standing transformation steering committee</t>
  </si>
  <si>
    <t xml:space="preserve">People &amp; Culture</t>
  </si>
  <si>
    <t xml:space="preserve">2. Workforce &amp; skills</t>
  </si>
  <si>
    <t xml:space="preserve">IT / EA organisational structure · Competency framework &amp; job profiles · Vacancy &amp; skills-gap register · NSG / CSIR training plan · Contractor / SLA panel</t>
  </si>
  <si>
    <t xml:space="preserve">10. Change appetite &amp; culture</t>
  </si>
  <si>
    <t xml:space="preserve">Organisational change-management approach · Batho Pele culture programme · Adoption / uptake metrics</t>
  </si>
  <si>
    <t xml:space="preserve">11. Change &amp; delivery capability  ◄ HARD GATE</t>
  </si>
  <si>
    <t xml:space="preserve">Programme / project office (PMO) charter — absent · Delivery method / SOPs · Project register · Key-person dependency log</t>
  </si>
  <si>
    <t xml:space="preserve">Data &amp; Trust</t>
  </si>
  <si>
    <t xml:space="preserve">7. Data stewardship &amp; sharing culture</t>
  </si>
  <si>
    <t xml:space="preserve">Data governance policy · Named data-steward roles · Data-sharing agreements (Home Affairs, Deeds Office) · POPIA processing register</t>
  </si>
  <si>
    <t xml:space="preserve">8. Security, privacy &amp; trust posture</t>
  </si>
  <si>
    <t xml:space="preserve">Information security policy · POPIA compliance programme · ISO/IEC 27001 control set · Security incident register</t>
  </si>
  <si>
    <t xml:space="preserve">Citizen &amp; Ecosystem</t>
  </si>
  <si>
    <t xml:space="preserve">3. Citizen digital empowerment</t>
  </si>
  <si>
    <t xml:space="preserve">Multi-channel access plan · Digital-inclusion measures · Physical service / housing access points · PEPUDA compliance measures</t>
  </si>
  <si>
    <t xml:space="preserve">9. Partnership &amp; ecosystem</t>
  </si>
  <si>
    <t xml:space="preserve">NHFC &amp; HDA partnership agreements · Municipal delivery agreements · Civil-society / community engagement · PPP instruments</t>
  </si>
  <si>
    <t xml:space="preserve">ENABLING ENVIRONMENT  ·  ASSESSMENT</t>
  </si>
  <si>
    <t xml:space="preserve">Enabling Environment — Readiness Assessment</t>
  </si>
  <si>
    <t xml:space="preserve">The catalogued dimensions scored 0–4 across five clusters, with the spider chart and the hard-gate verdict that governs the roadmap.</t>
  </si>
  <si>
    <t xml:space="preserve">Dimension</t>
  </si>
  <si>
    <t xml:space="preserve">Cluster</t>
  </si>
  <si>
    <t xml:space="preserve">Rating (0–4)</t>
  </si>
  <si>
    <t xml:space="preserve">Index (÷4×100)</t>
  </si>
  <si>
    <t xml:space="preserve">Idx × Wt</t>
  </si>
  <si>
    <t xml:space="preserve">Policy &amp; regulatory reform</t>
  </si>
  <si>
    <t xml:space="preserve">Policy &amp; reform</t>
  </si>
  <si>
    <t xml:space="preserve">Workforce &amp; skills</t>
  </si>
  <si>
    <t xml:space="preserve">Workforce</t>
  </si>
  <si>
    <t xml:space="preserve">Citizen digital empowerment</t>
  </si>
  <si>
    <t xml:space="preserve">Citizen empower.</t>
  </si>
  <si>
    <t xml:space="preserve">Executive sponsorship &amp; political will</t>
  </si>
  <si>
    <t xml:space="preserve">Sustain</t>
  </si>
  <si>
    <t xml:space="preserve">Exec sponsor</t>
  </si>
  <si>
    <t xml:space="preserve">Funding &amp; financial sustainability</t>
  </si>
  <si>
    <t xml:space="preserve">Funding</t>
  </si>
  <si>
    <t xml:space="preserve">Procurement &amp; supply-chain agility</t>
  </si>
  <si>
    <t xml:space="preserve">Procurement</t>
  </si>
  <si>
    <t xml:space="preserve">Data stewardship &amp; sharing culture</t>
  </si>
  <si>
    <t xml:space="preserve">Data steward</t>
  </si>
  <si>
    <t xml:space="preserve">Security, privacy &amp; trust posture</t>
  </si>
  <si>
    <t xml:space="preserve">Security</t>
  </si>
  <si>
    <t xml:space="preserve">Partnership &amp; ecosystem</t>
  </si>
  <si>
    <t xml:space="preserve">Partnership</t>
  </si>
  <si>
    <t xml:space="preserve">Change appetite &amp; culture</t>
  </si>
  <si>
    <t xml:space="preserve">Change culture</t>
  </si>
  <si>
    <t xml:space="preserve">Change &amp; delivery capability  ◄ HARD GATE</t>
  </si>
  <si>
    <t xml:space="preserve">Delivery (GATE)</t>
  </si>
  <si>
    <t xml:space="preserve">ENABLING-ENVIRONMENT READINESS INDEX (ERI)</t>
  </si>
  <si>
    <t xml:space="preserve">Readiness by cluster  (worst-dimension-wins sets the cluster zone)</t>
  </si>
  <si>
    <t xml:space="preserve">Dimensions</t>
  </si>
  <si>
    <t xml:space="preserve">Mean index</t>
  </si>
  <si>
    <t xml:space="preserve">Worst dim</t>
  </si>
  <si>
    <t xml:space="preserve">1, 5, 6</t>
  </si>
  <si>
    <t xml:space="preserve">Procurement (1)</t>
  </si>
  <si>
    <t xml:space="preserve">4</t>
  </si>
  <si>
    <t xml:space="preserve">2, 10, 11</t>
  </si>
  <si>
    <t xml:space="preserve">Delivery cap. (1)</t>
  </si>
  <si>
    <t xml:space="preserve">7, 8</t>
  </si>
  <si>
    <t xml:space="preserve">3, 9</t>
  </si>
  <si>
    <t xml:space="preserve">HARD GATE — Dimension 11: NOT CLEARED. No standing change-and-delivery capability. Where the hard gate is not cleared, no ambitious architecture change may be scheduled until it is built.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</si>
</sst>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16"/>
      <color rgb="FF1E2732"/>
      <name val="Arial"/>
      <family val="0"/>
      <charset val="1"/>
    </font>
    <font>
      <sz val="10"/>
      <color rgb="FF5A6675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10"/>
      <color rgb="FF1E2732"/>
      <name val="Arial"/>
      <family val="0"/>
      <charset val="1"/>
    </font>
    <font>
      <sz val="10"/>
      <color rgb="FF1E2732"/>
      <name val="Arial"/>
      <family val="0"/>
      <charset val="1"/>
    </font>
    <font>
      <sz val="9.5"/>
      <color rgb="FF5A6675"/>
      <name val="Arial"/>
      <family val="0"/>
      <charset val="1"/>
    </font>
    <font>
      <b val="true"/>
      <sz val="16"/>
      <color rgb="FF2F9E5B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10"/>
      <color rgb="FF7A5AA8"/>
      <name val="Arial"/>
      <family val="0"/>
      <charset val="1"/>
    </font>
    <font>
      <sz val="9.5"/>
      <color rgb="FF1E2732"/>
      <name val="Arial"/>
      <family val="0"/>
      <charset val="1"/>
    </font>
    <font>
      <b val="true"/>
      <sz val="10"/>
      <color rgb="FFC79A3A"/>
      <name val="Arial"/>
      <family val="0"/>
      <charset val="1"/>
    </font>
    <font>
      <b val="true"/>
      <sz val="10"/>
      <color rgb="FFC98A2E"/>
      <name val="Arial"/>
      <family val="0"/>
      <charset val="1"/>
    </font>
    <font>
      <b val="true"/>
      <sz val="10"/>
      <color rgb="FF2C6CA3"/>
      <name val="Arial"/>
      <family val="0"/>
      <charset val="1"/>
    </font>
    <font>
      <b val="true"/>
      <sz val="10"/>
      <color rgb="FF1F6F4A"/>
      <name val="Arial"/>
      <family val="0"/>
      <charset val="1"/>
    </font>
    <font>
      <b val="true"/>
      <sz val="16"/>
      <color rgb="FF177A60"/>
      <name val="Arial"/>
      <family val="0"/>
      <charset val="1"/>
    </font>
    <font>
      <sz val="9"/>
      <color rgb="FF1E2732"/>
      <name val="Arial"/>
      <family val="0"/>
      <charset val="1"/>
    </font>
    <font>
      <b val="true"/>
      <sz val="10"/>
      <color rgb="FF177A60"/>
      <name val="Arial"/>
      <family val="0"/>
      <charset val="1"/>
    </font>
    <font>
      <b val="true"/>
      <sz val="11"/>
      <color rgb="FFC43C2E"/>
      <name val="Arial"/>
      <family val="0"/>
      <charset val="1"/>
    </font>
    <font>
      <b val="true"/>
      <sz val="10.5"/>
      <color rgb="FF177A60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6"/>
      <color rgb="FF2C6CA3"/>
      <name val="Arial"/>
      <family val="0"/>
      <charset val="1"/>
    </font>
    <font>
      <b val="true"/>
      <sz val="11.5"/>
      <color rgb="FF2C6CA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.5"/>
      <color rgb="FF7A1E14"/>
      <name val="Arial"/>
      <family val="0"/>
      <charset val="1"/>
    </font>
    <font>
      <b val="true"/>
      <sz val="16"/>
      <color rgb="FFA5402A"/>
      <name val="Arial"/>
      <family val="0"/>
      <charset val="1"/>
    </font>
    <font>
      <b val="true"/>
      <sz val="16"/>
      <color rgb="FF5B4FA0"/>
      <name val="Arial"/>
      <family val="0"/>
      <charset val="1"/>
    </font>
    <font>
      <b val="true"/>
      <sz val="11"/>
      <color rgb="FF5B4FA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4FA0"/>
      <name val="Arial"/>
      <family val="0"/>
      <charset val="1"/>
    </font>
    <font>
      <b val="true"/>
      <sz val="16"/>
      <color rgb="FFB07D1C"/>
      <name val="Arial"/>
      <family val="0"/>
      <charset val="1"/>
    </font>
    <font>
      <b val="true"/>
      <sz val="10"/>
      <color rgb="FFA5402A"/>
      <name val="Arial"/>
      <family val="0"/>
      <charset val="1"/>
    </font>
    <font>
      <b val="true"/>
      <sz val="10"/>
      <color rgb="FFB07D1C"/>
      <name val="Arial"/>
      <family val="0"/>
      <charset val="1"/>
    </font>
    <font>
      <b val="true"/>
      <sz val="10.5"/>
      <color rgb="FFB07D1C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E2732"/>
        <bgColor rgb="FF333300"/>
      </patternFill>
    </fill>
    <fill>
      <patternFill patternType="solid">
        <fgColor rgb="FF2F9E5B"/>
        <bgColor rgb="FF2E9E5B"/>
      </patternFill>
    </fill>
    <fill>
      <patternFill patternType="solid">
        <fgColor rgb="FF7A5AA8"/>
        <bgColor rgb="FF5B4FA0"/>
      </patternFill>
    </fill>
    <fill>
      <patternFill patternType="solid">
        <fgColor rgb="FFC79A3A"/>
        <bgColor rgb="FFC98A2E"/>
      </patternFill>
    </fill>
    <fill>
      <patternFill patternType="solid">
        <fgColor rgb="FFC98A2E"/>
        <bgColor rgb="FFC79A3A"/>
      </patternFill>
    </fill>
    <fill>
      <patternFill patternType="solid">
        <fgColor rgb="FF2C6CA3"/>
        <bgColor rgb="FF177A60"/>
      </patternFill>
    </fill>
    <fill>
      <patternFill patternType="solid">
        <fgColor rgb="FF1F6F4A"/>
        <bgColor rgb="FF177A60"/>
      </patternFill>
    </fill>
    <fill>
      <patternFill patternType="solid">
        <fgColor rgb="FF177A60"/>
        <bgColor rgb="FF1F6F4A"/>
      </patternFill>
    </fill>
    <fill>
      <patternFill patternType="solid">
        <fgColor rgb="FFC43C2E"/>
        <bgColor rgb="FFA5402A"/>
      </patternFill>
    </fill>
    <fill>
      <patternFill patternType="solid">
        <fgColor rgb="FFE07B1E"/>
        <bgColor rgb="FFC98A2E"/>
      </patternFill>
    </fill>
    <fill>
      <patternFill patternType="solid">
        <fgColor rgb="FFEAF1F8"/>
        <bgColor rgb="FFFDECEA"/>
      </patternFill>
    </fill>
    <fill>
      <patternFill patternType="solid">
        <fgColor rgb="FF5B4FA0"/>
        <bgColor rgb="FF7A5AA8"/>
      </patternFill>
    </fill>
    <fill>
      <patternFill patternType="solid">
        <fgColor rgb="FFFDECEA"/>
        <bgColor rgb="FFEAF1F8"/>
      </patternFill>
    </fill>
    <fill>
      <patternFill patternType="solid">
        <fgColor rgb="FFA5402A"/>
        <bgColor rgb="FFC43C2E"/>
      </patternFill>
    </fill>
    <fill>
      <patternFill patternType="solid">
        <fgColor rgb="FFE6A817"/>
        <bgColor rgb="FFC79A3A"/>
      </patternFill>
    </fill>
    <fill>
      <patternFill patternType="solid">
        <fgColor rgb="FF2E9E5B"/>
        <bgColor rgb="FF2F9E5B"/>
      </patternFill>
    </fill>
    <fill>
      <patternFill patternType="solid">
        <fgColor rgb="FFB07D1C"/>
        <bgColor rgb="FFC98A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2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1E14"/>
      <rgbColor rgb="FF2E9E5B"/>
      <rgbColor rgb="FF000080"/>
      <rgbColor rgb="FFB07D1C"/>
      <rgbColor rgb="FF800080"/>
      <rgbColor rgb="FF177A60"/>
      <rgbColor rgb="FFD9D9D9"/>
      <rgbColor rgb="FF7A5AA8"/>
      <rgbColor rgb="FF9999FF"/>
      <rgbColor rgb="FFC43C2E"/>
      <rgbColor rgb="FFFDECEA"/>
      <rgbColor rgb="FFEAF1F8"/>
      <rgbColor rgb="FF660066"/>
      <rgbColor rgb="FFC98A2E"/>
      <rgbColor rgb="FF2C6CA3"/>
      <rgbColor rgb="FFD8DEE6"/>
      <rgbColor rgb="FF000080"/>
      <rgbColor rgb="FFFF00FF"/>
      <rgbColor rgb="FFFFFF00"/>
      <rgbColor rgb="FF00FFFF"/>
      <rgbColor rgb="FF800080"/>
      <rgbColor rgb="FF800000"/>
      <rgbColor rgb="FF1F6F4A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6A817"/>
      <rgbColor rgb="FFE07B1E"/>
      <rgbColor rgb="FF5A6675"/>
      <rgbColor rgb="FFC79A3A"/>
      <rgbColor rgb="FF003366"/>
      <rgbColor rgb="FF2F9E5B"/>
      <rgbColor rgb="FF003300"/>
      <rgbColor rgb="FF333300"/>
      <rgbColor rgb="FFA5402A"/>
      <rgbColor rgb="FF993366"/>
      <rgbColor rgb="FF5B4FA0"/>
      <rgbColor rgb="FF1E27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Enterprise maturity — current vs target (0–5)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</c:ser>
        <c:axId val="74143241"/>
        <c:axId val="68282073"/>
      </c:radarChart>
      <c:catAx>
        <c:axId val="7414324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282073"/>
        <c:crosses val="autoZero"/>
        <c:auto val="1"/>
        <c:lblAlgn val="ctr"/>
        <c:lblOffset val="100"/>
        <c:noMultiLvlLbl val="0"/>
      </c:catAx>
      <c:valAx>
        <c:axId val="682820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14324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Readiness — current vs target (0–4, target Established=3)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</c:ser>
        <c:axId val="87619610"/>
        <c:axId val="35585202"/>
      </c:radarChart>
      <c:catAx>
        <c:axId val="8761961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585202"/>
        <c:crosses val="autoZero"/>
        <c:auto val="1"/>
        <c:lblAlgn val="ctr"/>
        <c:lblOffset val="100"/>
        <c:noMultiLvlLbl val="0"/>
      </c:catAx>
      <c:valAx>
        <c:axId val="355852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61961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20</xdr:row>
      <xdr:rowOff>155880</xdr:rowOff>
    </xdr:from>
    <xdr:to>
      <xdr:col>8</xdr:col>
      <xdr:colOff>339840</xdr:colOff>
      <xdr:row>41</xdr:row>
      <xdr:rowOff>115200</xdr:rowOff>
    </xdr:to>
    <xdr:graphicFrame>
      <xdr:nvGraphicFramePr>
        <xdr:cNvPr id="0" name="Chart 1"/>
        <xdr:cNvGraphicFramePr/>
      </xdr:nvGraphicFramePr>
      <xdr:xfrm>
        <a:off x="352440" y="435276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234360</xdr:rowOff>
    </xdr:from>
    <xdr:to>
      <xdr:col>6</xdr:col>
      <xdr:colOff>480960</xdr:colOff>
      <xdr:row>36</xdr:row>
      <xdr:rowOff>81000</xdr:rowOff>
    </xdr:to>
    <xdr:graphicFrame>
      <xdr:nvGraphicFramePr>
        <xdr:cNvPr id="1" name="Chart 1"/>
        <xdr:cNvGraphicFramePr/>
      </xdr:nvGraphicFramePr>
      <xdr:xfrm>
        <a:off x="352440" y="359100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2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5" t="s">
        <v>11</v>
      </c>
      <c r="B9" s="6" t="s">
        <v>12</v>
      </c>
    </row>
    <row r="10" customFormat="false" ht="15" hidden="false" customHeight="false" outlineLevel="0" collapsed="false">
      <c r="A10" s="5" t="s">
        <v>13</v>
      </c>
      <c r="B10" s="6" t="s">
        <v>14</v>
      </c>
    </row>
    <row r="11" customFormat="false" ht="15" hidden="false" customHeight="false" outlineLevel="0" collapsed="false">
      <c r="A11" s="5" t="s">
        <v>15</v>
      </c>
      <c r="B11" s="6" t="s">
        <v>16</v>
      </c>
    </row>
    <row r="12" customFormat="false" ht="15" hidden="false" customHeight="false" outlineLevel="0" collapsed="false">
      <c r="A12" s="5" t="s">
        <v>17</v>
      </c>
      <c r="B12" s="6" t="s">
        <v>18</v>
      </c>
    </row>
    <row r="14" customFormat="false" ht="60" hidden="false" customHeight="true" outlineLevel="0" collapsed="false">
      <c r="A14" s="7" t="s">
        <v>19</v>
      </c>
      <c r="B14" s="7"/>
    </row>
  </sheetData>
  <mergeCells count="4">
    <mergeCell ref="A1:H1"/>
    <mergeCell ref="A2:H2"/>
    <mergeCell ref="A3:H3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7"/>
    <col collapsed="false" customWidth="true" hidden="false" outlineLevel="0" max="3" min="3" style="0" width="88"/>
    <col collapsed="false" customWidth="true" hidden="false" outlineLevel="0" max="4" min="4" style="0" width="7"/>
  </cols>
  <sheetData>
    <row r="1" customFormat="false" ht="18" hidden="false" customHeight="true" outlineLevel="0" collapsed="false">
      <c r="A1" s="8" t="s">
        <v>20</v>
      </c>
      <c r="B1" s="8"/>
      <c r="C1" s="8"/>
      <c r="D1" s="8"/>
      <c r="E1" s="8"/>
      <c r="F1" s="8"/>
      <c r="G1" s="8"/>
      <c r="H1" s="8"/>
    </row>
    <row r="2" customFormat="false" ht="24" hidden="false" customHeight="true" outlineLevel="0" collapsed="false">
      <c r="A2" s="9" t="s">
        <v>21</v>
      </c>
      <c r="B2" s="9"/>
      <c r="C2" s="9"/>
      <c r="D2" s="9"/>
      <c r="E2" s="9"/>
      <c r="F2" s="9"/>
      <c r="G2" s="9"/>
      <c r="H2" s="9"/>
    </row>
    <row r="3" customFormat="false" ht="15.75" hidden="false" customHeight="true" outlineLevel="0" collapsed="false">
      <c r="A3" s="3" t="s">
        <v>22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10" t="s">
        <v>23</v>
      </c>
      <c r="B5" s="10" t="s">
        <v>24</v>
      </c>
      <c r="C5" s="10" t="s">
        <v>25</v>
      </c>
      <c r="D5" s="10" t="s">
        <v>26</v>
      </c>
    </row>
    <row r="6" customFormat="false" ht="60" hidden="false" customHeight="true" outlineLevel="0" collapsed="false">
      <c r="A6" s="11" t="s">
        <v>27</v>
      </c>
      <c r="B6" s="12" t="s">
        <v>28</v>
      </c>
      <c r="C6" s="13" t="s">
        <v>29</v>
      </c>
      <c r="D6" s="14" t="n">
        <v>7</v>
      </c>
    </row>
    <row r="7" customFormat="false" ht="84" hidden="false" customHeight="true" outlineLevel="0" collapsed="false">
      <c r="A7" s="11"/>
      <c r="B7" s="12" t="s">
        <v>30</v>
      </c>
      <c r="C7" s="13" t="s">
        <v>31</v>
      </c>
      <c r="D7" s="14" t="n">
        <v>10</v>
      </c>
    </row>
    <row r="8" customFormat="false" ht="48" hidden="false" customHeight="true" outlineLevel="0" collapsed="false">
      <c r="A8" s="11"/>
      <c r="B8" s="12" t="s">
        <v>32</v>
      </c>
      <c r="C8" s="13" t="s">
        <v>33</v>
      </c>
      <c r="D8" s="14" t="n">
        <v>5</v>
      </c>
    </row>
    <row r="9" customFormat="false" ht="72" hidden="false" customHeight="true" outlineLevel="0" collapsed="false">
      <c r="A9" s="15" t="s">
        <v>34</v>
      </c>
      <c r="B9" s="16" t="s">
        <v>35</v>
      </c>
      <c r="C9" s="13" t="s">
        <v>36</v>
      </c>
      <c r="D9" s="14" t="n">
        <v>10</v>
      </c>
    </row>
    <row r="10" customFormat="false" ht="36" hidden="false" customHeight="true" outlineLevel="0" collapsed="false">
      <c r="A10" s="15"/>
      <c r="B10" s="16" t="s">
        <v>37</v>
      </c>
      <c r="C10" s="13" t="s">
        <v>38</v>
      </c>
      <c r="D10" s="14" t="n">
        <v>10</v>
      </c>
    </row>
    <row r="11" customFormat="false" ht="30" hidden="false" customHeight="true" outlineLevel="0" collapsed="false">
      <c r="A11" s="17" t="s">
        <v>39</v>
      </c>
      <c r="B11" s="18" t="s">
        <v>40</v>
      </c>
      <c r="C11" s="13" t="s">
        <v>41</v>
      </c>
      <c r="D11" s="14" t="n">
        <v>5</v>
      </c>
    </row>
    <row r="12" customFormat="false" ht="36" hidden="false" customHeight="true" outlineLevel="0" collapsed="false">
      <c r="A12" s="17"/>
      <c r="B12" s="18" t="s">
        <v>42</v>
      </c>
      <c r="C12" s="13" t="s">
        <v>43</v>
      </c>
      <c r="D12" s="14" t="n">
        <v>5</v>
      </c>
    </row>
    <row r="13" customFormat="false" ht="30" hidden="false" customHeight="true" outlineLevel="0" collapsed="false">
      <c r="A13" s="17"/>
      <c r="B13" s="18" t="s">
        <v>44</v>
      </c>
      <c r="C13" s="13" t="s">
        <v>45</v>
      </c>
      <c r="D13" s="14" t="n">
        <v>4</v>
      </c>
    </row>
    <row r="14" customFormat="false" ht="30" hidden="false" customHeight="true" outlineLevel="0" collapsed="false">
      <c r="A14" s="19" t="s">
        <v>46</v>
      </c>
      <c r="B14" s="20" t="s">
        <v>47</v>
      </c>
      <c r="C14" s="13" t="s">
        <v>48</v>
      </c>
      <c r="D14" s="14" t="n">
        <v>4</v>
      </c>
    </row>
    <row r="15" customFormat="false" ht="30" hidden="false" customHeight="true" outlineLevel="0" collapsed="false">
      <c r="A15" s="19"/>
      <c r="B15" s="20" t="s">
        <v>49</v>
      </c>
      <c r="C15" s="13" t="s">
        <v>50</v>
      </c>
      <c r="D15" s="14" t="n">
        <v>4</v>
      </c>
    </row>
    <row r="16" customFormat="false" ht="30" hidden="false" customHeight="true" outlineLevel="0" collapsed="false">
      <c r="A16" s="19"/>
      <c r="B16" s="20" t="s">
        <v>51</v>
      </c>
      <c r="C16" s="13" t="s">
        <v>52</v>
      </c>
      <c r="D16" s="14" t="n">
        <v>4</v>
      </c>
    </row>
    <row r="17" customFormat="false" ht="30" hidden="false" customHeight="true" outlineLevel="0" collapsed="false">
      <c r="A17" s="19"/>
      <c r="B17" s="20" t="s">
        <v>53</v>
      </c>
      <c r="C17" s="13" t="s">
        <v>54</v>
      </c>
      <c r="D17" s="14" t="n">
        <v>4</v>
      </c>
    </row>
    <row r="18" customFormat="false" ht="30" hidden="false" customHeight="true" outlineLevel="0" collapsed="false">
      <c r="A18" s="21" t="s">
        <v>55</v>
      </c>
      <c r="B18" s="22" t="s">
        <v>56</v>
      </c>
      <c r="C18" s="13" t="s">
        <v>57</v>
      </c>
      <c r="D18" s="14" t="n">
        <v>3</v>
      </c>
    </row>
    <row r="19" customFormat="false" ht="30" hidden="false" customHeight="true" outlineLevel="0" collapsed="false">
      <c r="A19" s="21"/>
      <c r="B19" s="22" t="s">
        <v>58</v>
      </c>
      <c r="C19" s="13" t="s">
        <v>59</v>
      </c>
      <c r="D19" s="14" t="n">
        <v>3</v>
      </c>
    </row>
    <row r="20" customFormat="false" ht="30" hidden="false" customHeight="true" outlineLevel="0" collapsed="false">
      <c r="A20" s="21"/>
      <c r="B20" s="22" t="s">
        <v>60</v>
      </c>
      <c r="C20" s="13" t="s">
        <v>61</v>
      </c>
      <c r="D20" s="14" t="n">
        <v>4</v>
      </c>
    </row>
  </sheetData>
  <mergeCells count="8">
    <mergeCell ref="A1:H1"/>
    <mergeCell ref="A2:H2"/>
    <mergeCell ref="A3:H3"/>
    <mergeCell ref="A6:A8"/>
    <mergeCell ref="A9:A10"/>
    <mergeCell ref="A11:A13"/>
    <mergeCell ref="A14:A17"/>
    <mergeCell ref="A18:A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7" min="4" style="0" width="9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true" outlineLevel="0" max="14" min="12" style="0" width="11"/>
  </cols>
  <sheetData>
    <row r="1" customFormat="false" ht="18" hidden="false" customHeight="true" outlineLevel="0" collapsed="false">
      <c r="A1" s="23" t="s">
        <v>62</v>
      </c>
      <c r="B1" s="23"/>
      <c r="C1" s="23"/>
      <c r="D1" s="23"/>
      <c r="E1" s="23"/>
      <c r="F1" s="23"/>
      <c r="G1" s="23"/>
      <c r="H1" s="23"/>
    </row>
    <row r="2" customFormat="false" ht="24" hidden="false" customHeight="true" outlineLevel="0" collapsed="false">
      <c r="A2" s="24" t="s">
        <v>63</v>
      </c>
      <c r="B2" s="24"/>
      <c r="C2" s="24"/>
      <c r="D2" s="24"/>
      <c r="E2" s="24"/>
      <c r="F2" s="24"/>
      <c r="G2" s="24"/>
      <c r="H2" s="24"/>
    </row>
    <row r="3" customFormat="false" ht="15.75" hidden="false" customHeight="true" outlineLevel="0" collapsed="false">
      <c r="A3" s="3" t="s">
        <v>64</v>
      </c>
      <c r="B3" s="3"/>
      <c r="C3" s="3"/>
      <c r="D3" s="3"/>
      <c r="E3" s="3"/>
      <c r="F3" s="3"/>
      <c r="G3" s="3"/>
      <c r="H3" s="3"/>
    </row>
    <row r="5" customFormat="false" ht="23.85" hidden="false" customHeight="false" outlineLevel="0" collapsed="false">
      <c r="A5" s="25" t="s">
        <v>65</v>
      </c>
      <c r="B5" s="25" t="s">
        <v>66</v>
      </c>
      <c r="C5" s="25" t="s">
        <v>67</v>
      </c>
      <c r="D5" s="25" t="s">
        <v>68</v>
      </c>
      <c r="E5" s="25" t="s">
        <v>69</v>
      </c>
      <c r="F5" s="25" t="s">
        <v>70</v>
      </c>
      <c r="G5" s="25" t="s">
        <v>71</v>
      </c>
      <c r="H5" s="25" t="s">
        <v>72</v>
      </c>
      <c r="I5" s="25" t="s">
        <v>73</v>
      </c>
      <c r="L5" s="26" t="s">
        <v>66</v>
      </c>
      <c r="M5" s="26" t="s">
        <v>74</v>
      </c>
      <c r="N5" s="26" t="s">
        <v>70</v>
      </c>
    </row>
    <row r="6" customFormat="false" ht="15" hidden="false" customHeight="false" outlineLevel="0" collapsed="false">
      <c r="A6" s="27" t="n">
        <v>1</v>
      </c>
      <c r="B6" s="5" t="s">
        <v>75</v>
      </c>
      <c r="C6" s="6" t="s">
        <v>27</v>
      </c>
      <c r="D6" s="27" t="n">
        <v>7</v>
      </c>
      <c r="E6" s="27" t="n">
        <v>2</v>
      </c>
      <c r="F6" s="27" t="n">
        <v>3</v>
      </c>
      <c r="G6" s="27" t="n">
        <v>1.5</v>
      </c>
      <c r="H6" s="27" t="n">
        <f aca="false">E6*G6</f>
        <v>3</v>
      </c>
      <c r="I6" s="28" t="s">
        <v>76</v>
      </c>
      <c r="L6" s="29" t="s">
        <v>75</v>
      </c>
      <c r="M6" s="29" t="n">
        <f aca="false">E6</f>
        <v>2</v>
      </c>
      <c r="N6" s="29" t="n">
        <v>3</v>
      </c>
    </row>
    <row r="7" customFormat="false" ht="15" hidden="false" customHeight="false" outlineLevel="0" collapsed="false">
      <c r="A7" s="27" t="n">
        <v>2</v>
      </c>
      <c r="B7" s="5" t="s">
        <v>77</v>
      </c>
      <c r="C7" s="6" t="s">
        <v>27</v>
      </c>
      <c r="D7" s="27" t="n">
        <v>10</v>
      </c>
      <c r="E7" s="27" t="n">
        <v>1.9</v>
      </c>
      <c r="F7" s="27" t="n">
        <v>3</v>
      </c>
      <c r="G7" s="27" t="n">
        <v>1</v>
      </c>
      <c r="H7" s="27" t="n">
        <f aca="false">E7*G7</f>
        <v>1.9</v>
      </c>
      <c r="I7" s="28" t="s">
        <v>76</v>
      </c>
      <c r="L7" s="29" t="s">
        <v>77</v>
      </c>
      <c r="M7" s="29" t="n">
        <f aca="false">E7</f>
        <v>1.9</v>
      </c>
      <c r="N7" s="29" t="n">
        <v>3</v>
      </c>
    </row>
    <row r="8" customFormat="false" ht="15" hidden="false" customHeight="false" outlineLevel="0" collapsed="false">
      <c r="A8" s="27" t="n">
        <v>3</v>
      </c>
      <c r="B8" s="5" t="s">
        <v>78</v>
      </c>
      <c r="C8" s="6" t="s">
        <v>27</v>
      </c>
      <c r="D8" s="27" t="n">
        <v>5</v>
      </c>
      <c r="E8" s="27" t="n">
        <v>2</v>
      </c>
      <c r="F8" s="27" t="n">
        <v>3</v>
      </c>
      <c r="G8" s="27" t="n">
        <v>1</v>
      </c>
      <c r="H8" s="27" t="n">
        <f aca="false">E8*G8</f>
        <v>2</v>
      </c>
      <c r="I8" s="28" t="s">
        <v>76</v>
      </c>
      <c r="L8" s="29" t="s">
        <v>79</v>
      </c>
      <c r="M8" s="29" t="n">
        <f aca="false">E8</f>
        <v>2</v>
      </c>
      <c r="N8" s="29" t="n">
        <v>3</v>
      </c>
    </row>
    <row r="9" customFormat="false" ht="15" hidden="false" customHeight="false" outlineLevel="0" collapsed="false">
      <c r="A9" s="27" t="n">
        <v>4</v>
      </c>
      <c r="B9" s="5" t="s">
        <v>80</v>
      </c>
      <c r="C9" s="6" t="s">
        <v>34</v>
      </c>
      <c r="D9" s="27" t="n">
        <v>10</v>
      </c>
      <c r="E9" s="27" t="n">
        <v>1.7</v>
      </c>
      <c r="F9" s="27" t="n">
        <v>3</v>
      </c>
      <c r="G9" s="27" t="n">
        <v>2</v>
      </c>
      <c r="H9" s="27" t="n">
        <f aca="false">E9*G9</f>
        <v>3.4</v>
      </c>
      <c r="I9" s="28" t="s">
        <v>76</v>
      </c>
      <c r="L9" s="29" t="s">
        <v>80</v>
      </c>
      <c r="M9" s="29" t="n">
        <f aca="false">E9</f>
        <v>1.7</v>
      </c>
      <c r="N9" s="29" t="n">
        <v>3</v>
      </c>
    </row>
    <row r="10" customFormat="false" ht="15" hidden="false" customHeight="false" outlineLevel="0" collapsed="false">
      <c r="A10" s="27" t="n">
        <v>5</v>
      </c>
      <c r="B10" s="5" t="s">
        <v>81</v>
      </c>
      <c r="C10" s="6" t="s">
        <v>34</v>
      </c>
      <c r="D10" s="27" t="n">
        <v>11</v>
      </c>
      <c r="E10" s="27" t="n">
        <v>1.64</v>
      </c>
      <c r="F10" s="27" t="n">
        <v>3</v>
      </c>
      <c r="G10" s="27" t="n">
        <v>0.5</v>
      </c>
      <c r="H10" s="27" t="n">
        <f aca="false">E10*G10</f>
        <v>0.82</v>
      </c>
      <c r="I10" s="28" t="s">
        <v>76</v>
      </c>
      <c r="L10" s="29" t="s">
        <v>81</v>
      </c>
      <c r="M10" s="29" t="n">
        <f aca="false">E10</f>
        <v>1.64</v>
      </c>
      <c r="N10" s="29" t="n">
        <v>3</v>
      </c>
    </row>
    <row r="11" customFormat="false" ht="15" hidden="false" customHeight="false" outlineLevel="0" collapsed="false">
      <c r="A11" s="27" t="n">
        <v>6</v>
      </c>
      <c r="B11" s="5" t="s">
        <v>82</v>
      </c>
      <c r="C11" s="6" t="s">
        <v>39</v>
      </c>
      <c r="D11" s="27" t="n">
        <v>9</v>
      </c>
      <c r="E11" s="27" t="n">
        <v>2</v>
      </c>
      <c r="F11" s="27" t="n">
        <v>3</v>
      </c>
      <c r="G11" s="27" t="n">
        <v>1</v>
      </c>
      <c r="H11" s="27" t="n">
        <f aca="false">E11*G11</f>
        <v>2</v>
      </c>
      <c r="I11" s="28" t="s">
        <v>76</v>
      </c>
      <c r="L11" s="29" t="s">
        <v>82</v>
      </c>
      <c r="M11" s="29" t="n">
        <f aca="false">E11</f>
        <v>2</v>
      </c>
      <c r="N11" s="29" t="n">
        <v>3</v>
      </c>
    </row>
    <row r="12" customFormat="false" ht="15" hidden="false" customHeight="false" outlineLevel="0" collapsed="false">
      <c r="A12" s="27" t="n">
        <v>7</v>
      </c>
      <c r="B12" s="5" t="s">
        <v>83</v>
      </c>
      <c r="C12" s="6" t="s">
        <v>39</v>
      </c>
      <c r="D12" s="27" t="n">
        <v>20</v>
      </c>
      <c r="E12" s="27" t="n">
        <v>1.55</v>
      </c>
      <c r="F12" s="27" t="n">
        <v>3</v>
      </c>
      <c r="G12" s="27" t="n">
        <v>1.5</v>
      </c>
      <c r="H12" s="27" t="n">
        <f aca="false">E12*G12</f>
        <v>2.325</v>
      </c>
      <c r="I12" s="28" t="s">
        <v>76</v>
      </c>
      <c r="L12" s="29" t="s">
        <v>83</v>
      </c>
      <c r="M12" s="29" t="n">
        <f aca="false">E12</f>
        <v>1.55</v>
      </c>
      <c r="N12" s="29" t="n">
        <v>3</v>
      </c>
    </row>
    <row r="13" customFormat="false" ht="15" hidden="false" customHeight="false" outlineLevel="0" collapsed="false">
      <c r="A13" s="27" t="n">
        <v>8</v>
      </c>
      <c r="B13" s="5" t="s">
        <v>84</v>
      </c>
      <c r="C13" s="6" t="s">
        <v>39</v>
      </c>
      <c r="D13" s="27" t="n">
        <v>22</v>
      </c>
      <c r="E13" s="27" t="n">
        <v>1.45</v>
      </c>
      <c r="F13" s="27" t="n">
        <v>3</v>
      </c>
      <c r="G13" s="27" t="n">
        <v>1.5</v>
      </c>
      <c r="H13" s="27" t="n">
        <f aca="false">E13*G13</f>
        <v>2.175</v>
      </c>
      <c r="I13" s="28" t="s">
        <v>76</v>
      </c>
      <c r="L13" s="29" t="s">
        <v>84</v>
      </c>
      <c r="M13" s="29" t="n">
        <f aca="false">E13</f>
        <v>1.45</v>
      </c>
      <c r="N13" s="29" t="n">
        <v>3</v>
      </c>
    </row>
    <row r="14" customFormat="false" ht="15" hidden="false" customHeight="false" outlineLevel="0" collapsed="false">
      <c r="A14" s="27" t="n">
        <v>9</v>
      </c>
      <c r="B14" s="5" t="s">
        <v>85</v>
      </c>
      <c r="C14" s="6" t="s">
        <v>46</v>
      </c>
      <c r="D14" s="27" t="n">
        <v>21</v>
      </c>
      <c r="E14" s="27" t="n">
        <v>1.24</v>
      </c>
      <c r="F14" s="27" t="n">
        <v>3</v>
      </c>
      <c r="G14" s="27" t="n">
        <v>1.5</v>
      </c>
      <c r="H14" s="27" t="n">
        <f aca="false">E14*G14</f>
        <v>1.86</v>
      </c>
      <c r="I14" s="28" t="s">
        <v>76</v>
      </c>
      <c r="L14" s="29" t="s">
        <v>85</v>
      </c>
      <c r="M14" s="29" t="n">
        <f aca="false">E14</f>
        <v>1.24</v>
      </c>
      <c r="N14" s="29" t="n">
        <v>3</v>
      </c>
    </row>
    <row r="15" customFormat="false" ht="15" hidden="false" customHeight="false" outlineLevel="0" collapsed="false">
      <c r="A15" s="27" t="n">
        <v>10</v>
      </c>
      <c r="B15" s="5" t="s">
        <v>86</v>
      </c>
      <c r="C15" s="6" t="s">
        <v>46</v>
      </c>
      <c r="D15" s="27" t="n">
        <v>24</v>
      </c>
      <c r="E15" s="27" t="n">
        <v>0.5</v>
      </c>
      <c r="F15" s="27" t="n">
        <v>3</v>
      </c>
      <c r="G15" s="27" t="n">
        <v>2</v>
      </c>
      <c r="H15" s="27" t="n">
        <f aca="false">E15*G15</f>
        <v>1</v>
      </c>
      <c r="I15" s="28" t="s">
        <v>76</v>
      </c>
      <c r="L15" s="29" t="s">
        <v>86</v>
      </c>
      <c r="M15" s="29" t="n">
        <f aca="false">E15</f>
        <v>0.5</v>
      </c>
      <c r="N15" s="29" t="n">
        <v>3</v>
      </c>
    </row>
    <row r="16" customFormat="false" ht="15" hidden="false" customHeight="false" outlineLevel="0" collapsed="false">
      <c r="A16" s="27" t="n">
        <v>11</v>
      </c>
      <c r="B16" s="5" t="s">
        <v>87</v>
      </c>
      <c r="C16" s="6" t="s">
        <v>46</v>
      </c>
      <c r="D16" s="27" t="n">
        <v>13</v>
      </c>
      <c r="E16" s="27" t="n">
        <v>1</v>
      </c>
      <c r="F16" s="27" t="n">
        <v>3</v>
      </c>
      <c r="G16" s="27" t="n">
        <v>1.5</v>
      </c>
      <c r="H16" s="27" t="n">
        <f aca="false">E16*G16</f>
        <v>1.5</v>
      </c>
      <c r="I16" s="28" t="s">
        <v>76</v>
      </c>
      <c r="L16" s="29" t="s">
        <v>87</v>
      </c>
      <c r="M16" s="29" t="n">
        <f aca="false">E16</f>
        <v>1</v>
      </c>
      <c r="N16" s="29" t="n">
        <v>3</v>
      </c>
    </row>
    <row r="17" customFormat="false" ht="15" hidden="false" customHeight="false" outlineLevel="0" collapsed="false">
      <c r="A17" s="27" t="n">
        <v>12</v>
      </c>
      <c r="B17" s="5" t="s">
        <v>88</v>
      </c>
      <c r="C17" s="6" t="s">
        <v>46</v>
      </c>
      <c r="D17" s="27" t="n">
        <v>16</v>
      </c>
      <c r="E17" s="27" t="n">
        <v>1</v>
      </c>
      <c r="F17" s="27" t="n">
        <v>3</v>
      </c>
      <c r="G17" s="27" t="n">
        <v>1</v>
      </c>
      <c r="H17" s="27" t="n">
        <f aca="false">E17*G17</f>
        <v>1</v>
      </c>
      <c r="I17" s="28" t="s">
        <v>76</v>
      </c>
      <c r="L17" s="29" t="s">
        <v>89</v>
      </c>
      <c r="M17" s="29" t="n">
        <f aca="false">E17</f>
        <v>1</v>
      </c>
      <c r="N17" s="29" t="n">
        <v>3</v>
      </c>
    </row>
    <row r="18" customFormat="false" ht="15" hidden="false" customHeight="false" outlineLevel="0" collapsed="false">
      <c r="A18" s="27" t="n">
        <v>13</v>
      </c>
      <c r="B18" s="5" t="s">
        <v>90</v>
      </c>
      <c r="C18" s="6" t="s">
        <v>55</v>
      </c>
      <c r="D18" s="27" t="n">
        <v>9</v>
      </c>
      <c r="E18" s="27" t="n">
        <v>0.78</v>
      </c>
      <c r="F18" s="27" t="n">
        <v>3</v>
      </c>
      <c r="G18" s="27" t="n">
        <v>1</v>
      </c>
      <c r="H18" s="27" t="n">
        <f aca="false">E18*G18</f>
        <v>0.78</v>
      </c>
      <c r="I18" s="28" t="s">
        <v>76</v>
      </c>
      <c r="L18" s="29" t="s">
        <v>91</v>
      </c>
      <c r="M18" s="29" t="n">
        <f aca="false">E18</f>
        <v>0.78</v>
      </c>
      <c r="N18" s="29" t="n">
        <v>3</v>
      </c>
    </row>
    <row r="19" customFormat="false" ht="23.85" hidden="false" customHeight="false" outlineLevel="0" collapsed="false">
      <c r="A19" s="27" t="n">
        <v>14</v>
      </c>
      <c r="B19" s="5" t="s">
        <v>92</v>
      </c>
      <c r="C19" s="6" t="s">
        <v>55</v>
      </c>
      <c r="D19" s="27" t="n">
        <v>8</v>
      </c>
      <c r="E19" s="27" t="n">
        <v>0.75</v>
      </c>
      <c r="F19" s="27" t="n">
        <v>3</v>
      </c>
      <c r="G19" s="27" t="n">
        <v>2</v>
      </c>
      <c r="H19" s="27" t="n">
        <f aca="false">E19*G19</f>
        <v>1.5</v>
      </c>
      <c r="I19" s="28" t="s">
        <v>76</v>
      </c>
      <c r="L19" s="29" t="s">
        <v>93</v>
      </c>
      <c r="M19" s="29" t="n">
        <f aca="false">E19</f>
        <v>0.75</v>
      </c>
      <c r="N19" s="29" t="n">
        <v>3</v>
      </c>
    </row>
    <row r="20" customFormat="false" ht="15" hidden="false" customHeight="false" outlineLevel="0" collapsed="false">
      <c r="A20" s="27" t="n">
        <v>15</v>
      </c>
      <c r="B20" s="5" t="s">
        <v>94</v>
      </c>
      <c r="C20" s="6" t="s">
        <v>55</v>
      </c>
      <c r="D20" s="27" t="n">
        <v>8</v>
      </c>
      <c r="E20" s="27" t="n">
        <v>0.75</v>
      </c>
      <c r="F20" s="27" t="n">
        <v>3</v>
      </c>
      <c r="G20" s="27" t="n">
        <v>1</v>
      </c>
      <c r="H20" s="27" t="n">
        <f aca="false">E20*G20</f>
        <v>0.75</v>
      </c>
      <c r="I20" s="28" t="s">
        <v>76</v>
      </c>
      <c r="L20" s="29" t="s">
        <v>95</v>
      </c>
      <c r="M20" s="29" t="n">
        <f aca="false">E20</f>
        <v>0.75</v>
      </c>
      <c r="N20" s="29" t="n">
        <v>3</v>
      </c>
    </row>
    <row r="21" customFormat="false" ht="15" hidden="false" customHeight="false" outlineLevel="0" collapsed="false">
      <c r="B21" s="30" t="s">
        <v>96</v>
      </c>
      <c r="H21" s="31" t="n">
        <f aca="false">SUMPRODUCT(E6:E20,G6:G20)/SUM(G6:G20)/5*100</f>
        <v>26.01</v>
      </c>
      <c r="I21" s="28" t="s">
        <v>76</v>
      </c>
    </row>
    <row r="46" customFormat="false" ht="15" hidden="false" customHeight="false" outlineLevel="0" collapsed="false">
      <c r="B46" s="32" t="s">
        <v>97</v>
      </c>
    </row>
    <row r="47" customFormat="false" ht="23.85" hidden="false" customHeight="false" outlineLevel="0" collapsed="false">
      <c r="B47" s="25" t="s">
        <v>98</v>
      </c>
      <c r="D47" s="25" t="s">
        <v>99</v>
      </c>
      <c r="E47" s="25" t="s">
        <v>100</v>
      </c>
      <c r="F47" s="25" t="s">
        <v>101</v>
      </c>
      <c r="G47" s="25" t="s">
        <v>102</v>
      </c>
      <c r="H47" s="25" t="s">
        <v>103</v>
      </c>
      <c r="I47" s="25" t="s">
        <v>73</v>
      </c>
    </row>
    <row r="48" customFormat="false" ht="46.25" hidden="false" customHeight="true" outlineLevel="0" collapsed="false">
      <c r="B48" s="33" t="s">
        <v>104</v>
      </c>
      <c r="C48" s="33"/>
      <c r="D48" s="34" t="s">
        <v>105</v>
      </c>
      <c r="E48" s="33" t="s">
        <v>106</v>
      </c>
      <c r="F48" s="34" t="s">
        <v>107</v>
      </c>
      <c r="G48" s="14" t="s">
        <v>108</v>
      </c>
      <c r="H48" s="33" t="s">
        <v>109</v>
      </c>
      <c r="I48" s="28" t="s">
        <v>76</v>
      </c>
    </row>
    <row r="49" customFormat="false" ht="23.85" hidden="false" customHeight="true" outlineLevel="0" collapsed="false">
      <c r="B49" s="33" t="s">
        <v>110</v>
      </c>
      <c r="C49" s="33"/>
      <c r="D49" s="34" t="s">
        <v>111</v>
      </c>
      <c r="E49" s="33" t="s">
        <v>111</v>
      </c>
      <c r="F49" s="34" t="s">
        <v>112</v>
      </c>
      <c r="G49" s="14" t="s">
        <v>111</v>
      </c>
      <c r="H49" s="33" t="s">
        <v>113</v>
      </c>
      <c r="I49" s="28" t="s">
        <v>76</v>
      </c>
    </row>
    <row r="50" customFormat="false" ht="23.85" hidden="false" customHeight="true" outlineLevel="0" collapsed="false">
      <c r="B50" s="33" t="s">
        <v>114</v>
      </c>
      <c r="C50" s="33"/>
      <c r="D50" s="34" t="s">
        <v>115</v>
      </c>
      <c r="E50" s="33" t="s">
        <v>115</v>
      </c>
      <c r="F50" s="34" t="s">
        <v>116</v>
      </c>
      <c r="G50" s="14" t="s">
        <v>115</v>
      </c>
      <c r="H50" s="33" t="s">
        <v>117</v>
      </c>
      <c r="I50" s="35" t="s">
        <v>118</v>
      </c>
    </row>
  </sheetData>
  <mergeCells count="6">
    <mergeCell ref="A1:H1"/>
    <mergeCell ref="A2:H2"/>
    <mergeCell ref="A3:H3"/>
    <mergeCell ref="B48:C48"/>
    <mergeCell ref="B49:C49"/>
    <mergeCell ref="B50:C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7" min="4" style="0" width="12"/>
  </cols>
  <sheetData>
    <row r="1" customFormat="false" ht="18" hidden="false" customHeight="true" outlineLevel="0" collapsed="false">
      <c r="A1" s="36" t="s">
        <v>119</v>
      </c>
      <c r="B1" s="36"/>
      <c r="C1" s="36"/>
      <c r="D1" s="36"/>
      <c r="E1" s="36"/>
      <c r="F1" s="36"/>
      <c r="G1" s="36"/>
      <c r="H1" s="36"/>
    </row>
    <row r="2" customFormat="false" ht="24" hidden="false" customHeight="true" outlineLevel="0" collapsed="false">
      <c r="A2" s="37" t="s">
        <v>120</v>
      </c>
      <c r="B2" s="37"/>
      <c r="C2" s="37"/>
      <c r="D2" s="37"/>
      <c r="E2" s="37"/>
      <c r="F2" s="37"/>
      <c r="G2" s="37"/>
      <c r="H2" s="37"/>
    </row>
    <row r="3" customFormat="false" ht="15.75" hidden="false" customHeight="true" outlineLevel="0" collapsed="false">
      <c r="A3" s="3" t="s">
        <v>121</v>
      </c>
      <c r="B3" s="3"/>
      <c r="C3" s="3"/>
      <c r="D3" s="3"/>
      <c r="E3" s="3"/>
      <c r="F3" s="3"/>
      <c r="G3" s="3"/>
      <c r="H3" s="3"/>
    </row>
    <row r="5" customFormat="false" ht="23.85" hidden="false" customHeight="false" outlineLevel="0" collapsed="false">
      <c r="A5" s="38" t="s">
        <v>122</v>
      </c>
      <c r="B5" s="38" t="s">
        <v>66</v>
      </c>
      <c r="C5" s="38" t="s">
        <v>67</v>
      </c>
      <c r="D5" s="38" t="s">
        <v>74</v>
      </c>
      <c r="E5" s="38" t="s">
        <v>70</v>
      </c>
      <c r="F5" s="38" t="s">
        <v>71</v>
      </c>
      <c r="G5" s="38" t="s">
        <v>123</v>
      </c>
    </row>
    <row r="6" customFormat="false" ht="15" hidden="false" customHeight="false" outlineLevel="0" collapsed="false">
      <c r="A6" s="39" t="n">
        <v>1</v>
      </c>
      <c r="B6" s="40" t="s">
        <v>86</v>
      </c>
      <c r="C6" s="41" t="s">
        <v>46</v>
      </c>
      <c r="D6" s="42" t="n">
        <v>0.5</v>
      </c>
      <c r="E6" s="42" t="n">
        <v>3</v>
      </c>
      <c r="F6" s="42" t="n">
        <v>2</v>
      </c>
      <c r="G6" s="39" t="n">
        <f aca="false">(E6-D6)*F6</f>
        <v>5</v>
      </c>
    </row>
    <row r="7" customFormat="false" ht="15" hidden="false" customHeight="false" outlineLevel="0" collapsed="false">
      <c r="A7" s="39" t="n">
        <v>2</v>
      </c>
      <c r="B7" s="40" t="s">
        <v>92</v>
      </c>
      <c r="C7" s="41" t="s">
        <v>55</v>
      </c>
      <c r="D7" s="42" t="n">
        <v>0.75</v>
      </c>
      <c r="E7" s="42" t="n">
        <v>3</v>
      </c>
      <c r="F7" s="42" t="n">
        <v>2</v>
      </c>
      <c r="G7" s="39" t="n">
        <f aca="false">(E7-D7)*F7</f>
        <v>4.5</v>
      </c>
    </row>
    <row r="8" customFormat="false" ht="15" hidden="false" customHeight="false" outlineLevel="0" collapsed="false">
      <c r="A8" s="39" t="n">
        <v>3</v>
      </c>
      <c r="B8" s="40" t="s">
        <v>87</v>
      </c>
      <c r="C8" s="41" t="s">
        <v>46</v>
      </c>
      <c r="D8" s="42" t="n">
        <v>1</v>
      </c>
      <c r="E8" s="42" t="n">
        <v>3</v>
      </c>
      <c r="F8" s="42" t="n">
        <v>1.5</v>
      </c>
      <c r="G8" s="39" t="n">
        <f aca="false">(E8-D8)*F8</f>
        <v>3</v>
      </c>
    </row>
    <row r="9" customFormat="false" ht="15" hidden="false" customHeight="false" outlineLevel="0" collapsed="false">
      <c r="A9" s="39" t="n">
        <v>4</v>
      </c>
      <c r="B9" s="40" t="s">
        <v>85</v>
      </c>
      <c r="C9" s="41" t="s">
        <v>46</v>
      </c>
      <c r="D9" s="42" t="n">
        <v>1.24</v>
      </c>
      <c r="E9" s="42" t="n">
        <v>3</v>
      </c>
      <c r="F9" s="42" t="n">
        <v>1.5</v>
      </c>
      <c r="G9" s="39" t="n">
        <f aca="false">(E9-D9)*F9</f>
        <v>2.64</v>
      </c>
    </row>
    <row r="10" customFormat="false" ht="15" hidden="false" customHeight="false" outlineLevel="0" collapsed="false">
      <c r="A10" s="39" t="n">
        <v>5</v>
      </c>
      <c r="B10" s="40" t="s">
        <v>80</v>
      </c>
      <c r="C10" s="41" t="s">
        <v>34</v>
      </c>
      <c r="D10" s="42" t="n">
        <v>1.7</v>
      </c>
      <c r="E10" s="42" t="n">
        <v>3</v>
      </c>
      <c r="F10" s="42" t="n">
        <v>2</v>
      </c>
      <c r="G10" s="39" t="n">
        <f aca="false">(E10-D10)*F10</f>
        <v>2.6</v>
      </c>
    </row>
    <row r="11" customFormat="false" ht="15" hidden="false" customHeight="false" outlineLevel="0" collapsed="false">
      <c r="A11" s="14" t="n">
        <v>6</v>
      </c>
      <c r="B11" s="6" t="s">
        <v>84</v>
      </c>
      <c r="C11" s="6" t="s">
        <v>39</v>
      </c>
      <c r="D11" s="27" t="n">
        <v>1.45</v>
      </c>
      <c r="E11" s="27" t="n">
        <v>3</v>
      </c>
      <c r="F11" s="27" t="n">
        <v>1.5</v>
      </c>
      <c r="G11" s="14" t="n">
        <f aca="false">(E11-D11)*F11</f>
        <v>2.325</v>
      </c>
    </row>
    <row r="12" customFormat="false" ht="15" hidden="false" customHeight="false" outlineLevel="0" collapsed="false">
      <c r="A12" s="14" t="n">
        <v>7</v>
      </c>
      <c r="B12" s="6" t="s">
        <v>94</v>
      </c>
      <c r="C12" s="6" t="s">
        <v>55</v>
      </c>
      <c r="D12" s="27" t="n">
        <v>0.75</v>
      </c>
      <c r="E12" s="27" t="n">
        <v>3</v>
      </c>
      <c r="F12" s="27" t="n">
        <v>1</v>
      </c>
      <c r="G12" s="14" t="n">
        <f aca="false">(E12-D12)*F12</f>
        <v>2.25</v>
      </c>
    </row>
    <row r="13" customFormat="false" ht="15" hidden="false" customHeight="false" outlineLevel="0" collapsed="false">
      <c r="A13" s="14" t="n">
        <v>8</v>
      </c>
      <c r="B13" s="6" t="s">
        <v>90</v>
      </c>
      <c r="C13" s="6" t="s">
        <v>55</v>
      </c>
      <c r="D13" s="27" t="n">
        <v>0.78</v>
      </c>
      <c r="E13" s="27" t="n">
        <v>3</v>
      </c>
      <c r="F13" s="27" t="n">
        <v>1</v>
      </c>
      <c r="G13" s="14" t="n">
        <f aca="false">(E13-D13)*F13</f>
        <v>2.22</v>
      </c>
    </row>
    <row r="14" customFormat="false" ht="15" hidden="false" customHeight="false" outlineLevel="0" collapsed="false">
      <c r="A14" s="14" t="n">
        <v>9</v>
      </c>
      <c r="B14" s="6" t="s">
        <v>83</v>
      </c>
      <c r="C14" s="6" t="s">
        <v>39</v>
      </c>
      <c r="D14" s="27" t="n">
        <v>1.55</v>
      </c>
      <c r="E14" s="27" t="n">
        <v>3</v>
      </c>
      <c r="F14" s="27" t="n">
        <v>1.5</v>
      </c>
      <c r="G14" s="14" t="n">
        <f aca="false">(E14-D14)*F14</f>
        <v>2.175</v>
      </c>
    </row>
    <row r="15" customFormat="false" ht="15" hidden="false" customHeight="false" outlineLevel="0" collapsed="false">
      <c r="A15" s="14" t="n">
        <v>10</v>
      </c>
      <c r="B15" s="6" t="s">
        <v>88</v>
      </c>
      <c r="C15" s="6" t="s">
        <v>46</v>
      </c>
      <c r="D15" s="27" t="n">
        <v>1</v>
      </c>
      <c r="E15" s="27" t="n">
        <v>3</v>
      </c>
      <c r="F15" s="27" t="n">
        <v>1</v>
      </c>
      <c r="G15" s="14" t="n">
        <f aca="false">(E15-D15)*F15</f>
        <v>2</v>
      </c>
    </row>
    <row r="16" customFormat="false" ht="15" hidden="false" customHeight="false" outlineLevel="0" collapsed="false">
      <c r="A16" s="14" t="n">
        <v>11</v>
      </c>
      <c r="B16" s="6" t="s">
        <v>75</v>
      </c>
      <c r="C16" s="6" t="s">
        <v>27</v>
      </c>
      <c r="D16" s="27" t="n">
        <v>2</v>
      </c>
      <c r="E16" s="27" t="n">
        <v>3</v>
      </c>
      <c r="F16" s="27" t="n">
        <v>1.5</v>
      </c>
      <c r="G16" s="14" t="n">
        <f aca="false">(E16-D16)*F16</f>
        <v>1.5</v>
      </c>
    </row>
    <row r="17" customFormat="false" ht="15" hidden="false" customHeight="false" outlineLevel="0" collapsed="false">
      <c r="A17" s="14" t="n">
        <v>12</v>
      </c>
      <c r="B17" s="6" t="s">
        <v>77</v>
      </c>
      <c r="C17" s="6" t="s">
        <v>27</v>
      </c>
      <c r="D17" s="27" t="n">
        <v>1.9</v>
      </c>
      <c r="E17" s="27" t="n">
        <v>3</v>
      </c>
      <c r="F17" s="27" t="n">
        <v>1</v>
      </c>
      <c r="G17" s="14" t="n">
        <f aca="false">(E17-D17)*F17</f>
        <v>1.1</v>
      </c>
    </row>
    <row r="18" customFormat="false" ht="15" hidden="false" customHeight="false" outlineLevel="0" collapsed="false">
      <c r="A18" s="14" t="n">
        <v>13</v>
      </c>
      <c r="B18" s="6" t="s">
        <v>78</v>
      </c>
      <c r="C18" s="6" t="s">
        <v>27</v>
      </c>
      <c r="D18" s="27" t="n">
        <v>2</v>
      </c>
      <c r="E18" s="27" t="n">
        <v>3</v>
      </c>
      <c r="F18" s="27" t="n">
        <v>1</v>
      </c>
      <c r="G18" s="14" t="n">
        <f aca="false">(E18-D18)*F18</f>
        <v>1</v>
      </c>
    </row>
    <row r="19" customFormat="false" ht="15" hidden="false" customHeight="false" outlineLevel="0" collapsed="false">
      <c r="A19" s="14" t="n">
        <v>14</v>
      </c>
      <c r="B19" s="6" t="s">
        <v>82</v>
      </c>
      <c r="C19" s="6" t="s">
        <v>39</v>
      </c>
      <c r="D19" s="27" t="n">
        <v>2</v>
      </c>
      <c r="E19" s="27" t="n">
        <v>3</v>
      </c>
      <c r="F19" s="27" t="n">
        <v>1</v>
      </c>
      <c r="G19" s="14" t="n">
        <f aca="false">(E19-D19)*F19</f>
        <v>1</v>
      </c>
    </row>
    <row r="20" customFormat="false" ht="15" hidden="false" customHeight="false" outlineLevel="0" collapsed="false">
      <c r="A20" s="14" t="n">
        <v>15</v>
      </c>
      <c r="B20" s="6" t="s">
        <v>81</v>
      </c>
      <c r="C20" s="6" t="s">
        <v>34</v>
      </c>
      <c r="D20" s="27" t="n">
        <v>1.64</v>
      </c>
      <c r="E20" s="27" t="n">
        <v>3</v>
      </c>
      <c r="F20" s="27" t="n">
        <v>0.5</v>
      </c>
      <c r="G20" s="14" t="n">
        <f aca="false">(E20-D20)*F20</f>
        <v>0.68</v>
      </c>
    </row>
    <row r="22" customFormat="false" ht="15" hidden="false" customHeight="false" outlineLevel="0" collapsed="false">
      <c r="B22" s="43" t="s">
        <v>124</v>
      </c>
    </row>
    <row r="23" customFormat="false" ht="35.05" hidden="false" customHeight="false" outlineLevel="0" collapsed="false">
      <c r="A23" s="38" t="s">
        <v>125</v>
      </c>
      <c r="B23" s="38" t="s">
        <v>126</v>
      </c>
      <c r="C23" s="38" t="s">
        <v>127</v>
      </c>
      <c r="D23" s="38" t="s">
        <v>128</v>
      </c>
    </row>
    <row r="24" customFormat="false" ht="57.75" hidden="false" customHeight="true" outlineLevel="0" collapsed="false">
      <c r="A24" s="44" t="s">
        <v>129</v>
      </c>
      <c r="B24" s="45" t="s">
        <v>130</v>
      </c>
      <c r="C24" s="46" t="s">
        <v>131</v>
      </c>
      <c r="D24" s="13" t="s">
        <v>132</v>
      </c>
      <c r="E24" s="13"/>
      <c r="F24" s="13"/>
      <c r="G24" s="13"/>
    </row>
    <row r="25" customFormat="false" ht="57.75" hidden="false" customHeight="true" outlineLevel="0" collapsed="false">
      <c r="A25" s="47" t="s">
        <v>133</v>
      </c>
      <c r="B25" s="45" t="s">
        <v>134</v>
      </c>
      <c r="C25" s="46" t="s">
        <v>135</v>
      </c>
      <c r="D25" s="13" t="s">
        <v>136</v>
      </c>
      <c r="E25" s="13"/>
      <c r="F25" s="13"/>
      <c r="G25" s="13"/>
    </row>
    <row r="26" customFormat="false" ht="57.75" hidden="false" customHeight="true" outlineLevel="0" collapsed="false">
      <c r="A26" s="48" t="s">
        <v>137</v>
      </c>
      <c r="B26" s="45" t="s">
        <v>138</v>
      </c>
      <c r="C26" s="46" t="s">
        <v>139</v>
      </c>
      <c r="D26" s="13" t="s">
        <v>140</v>
      </c>
      <c r="E26" s="13"/>
      <c r="F26" s="13"/>
      <c r="G26" s="13"/>
    </row>
    <row r="28" customFormat="false" ht="33.75" hidden="false" customHeight="true" outlineLevel="0" collapsed="false">
      <c r="A28" s="49" t="s">
        <v>141</v>
      </c>
      <c r="B28" s="49"/>
      <c r="C28" s="49"/>
      <c r="D28" s="49"/>
      <c r="E28" s="49"/>
      <c r="F28" s="49"/>
      <c r="G28" s="49"/>
    </row>
  </sheetData>
  <mergeCells count="7">
    <mergeCell ref="A1:H1"/>
    <mergeCell ref="A2:H2"/>
    <mergeCell ref="A3:H3"/>
    <mergeCell ref="D24:G24"/>
    <mergeCell ref="D25:G25"/>
    <mergeCell ref="D26:G26"/>
    <mergeCell ref="A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1"/>
  </cols>
  <sheetData>
    <row r="1" customFormat="false" ht="18" hidden="false" customHeight="true" outlineLevel="0" collapsed="false">
      <c r="A1" s="50" t="s">
        <v>142</v>
      </c>
      <c r="B1" s="50"/>
      <c r="C1" s="50"/>
      <c r="D1" s="50"/>
      <c r="E1" s="50"/>
      <c r="F1" s="50"/>
      <c r="G1" s="50"/>
      <c r="H1" s="50"/>
    </row>
    <row r="2" customFormat="false" ht="24" hidden="false" customHeight="true" outlineLevel="0" collapsed="false">
      <c r="A2" s="51" t="s">
        <v>143</v>
      </c>
      <c r="B2" s="51"/>
      <c r="C2" s="51"/>
      <c r="D2" s="51"/>
      <c r="E2" s="51"/>
      <c r="F2" s="51"/>
      <c r="G2" s="51"/>
      <c r="H2" s="51"/>
    </row>
    <row r="3" customFormat="false" ht="15.75" hidden="false" customHeight="true" outlineLevel="0" collapsed="false">
      <c r="A3" s="3" t="s">
        <v>144</v>
      </c>
      <c r="B3" s="3"/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A5" s="52" t="s">
        <v>145</v>
      </c>
      <c r="B5" s="52"/>
      <c r="C5" s="52"/>
      <c r="D5" s="52" t="s">
        <v>146</v>
      </c>
      <c r="E5" s="52" t="s">
        <v>147</v>
      </c>
      <c r="F5" s="52" t="s">
        <v>148</v>
      </c>
      <c r="G5" s="52" t="s">
        <v>149</v>
      </c>
    </row>
    <row r="6" customFormat="false" ht="15" hidden="false" customHeight="true" outlineLevel="0" collapsed="false">
      <c r="A6" s="5" t="s">
        <v>150</v>
      </c>
      <c r="B6" s="5"/>
      <c r="C6" s="5"/>
      <c r="D6" s="34" t="s">
        <v>151</v>
      </c>
      <c r="E6" s="34" t="s">
        <v>152</v>
      </c>
      <c r="F6" s="53" t="s">
        <v>153</v>
      </c>
      <c r="G6" s="54" t="n">
        <v>0.55</v>
      </c>
    </row>
    <row r="7" customFormat="false" ht="15" hidden="false" customHeight="true" outlineLevel="0" collapsed="false">
      <c r="A7" s="5" t="s">
        <v>154</v>
      </c>
      <c r="B7" s="5"/>
      <c r="C7" s="5"/>
      <c r="D7" s="34" t="s">
        <v>87</v>
      </c>
      <c r="E7" s="34" t="s">
        <v>152</v>
      </c>
      <c r="F7" s="55" t="s">
        <v>155</v>
      </c>
      <c r="G7" s="54" t="n">
        <v>0.4</v>
      </c>
    </row>
    <row r="8" customFormat="false" ht="15" hidden="false" customHeight="true" outlineLevel="0" collapsed="false">
      <c r="A8" s="5" t="s">
        <v>156</v>
      </c>
      <c r="B8" s="5"/>
      <c r="C8" s="5"/>
      <c r="D8" s="34" t="s">
        <v>86</v>
      </c>
      <c r="E8" s="34" t="s">
        <v>152</v>
      </c>
      <c r="F8" s="53" t="s">
        <v>153</v>
      </c>
      <c r="G8" s="54" t="n">
        <v>0.35</v>
      </c>
    </row>
    <row r="9" customFormat="false" ht="15" hidden="false" customHeight="true" outlineLevel="0" collapsed="false">
      <c r="A9" s="5" t="s">
        <v>157</v>
      </c>
      <c r="B9" s="5"/>
      <c r="C9" s="5"/>
      <c r="D9" s="34" t="s">
        <v>158</v>
      </c>
      <c r="E9" s="34" t="s">
        <v>159</v>
      </c>
      <c r="F9" s="28" t="s">
        <v>160</v>
      </c>
      <c r="G9" s="54" t="n">
        <v>0.15</v>
      </c>
    </row>
    <row r="10" customFormat="false" ht="15" hidden="false" customHeight="true" outlineLevel="0" collapsed="false">
      <c r="A10" s="5" t="s">
        <v>161</v>
      </c>
      <c r="B10" s="5"/>
      <c r="C10" s="5"/>
      <c r="D10" s="34" t="s">
        <v>83</v>
      </c>
      <c r="E10" s="34" t="s">
        <v>159</v>
      </c>
      <c r="F10" s="53" t="s">
        <v>153</v>
      </c>
      <c r="G10" s="54" t="n">
        <v>0.2</v>
      </c>
    </row>
    <row r="11" customFormat="false" ht="15" hidden="false" customHeight="true" outlineLevel="0" collapsed="false">
      <c r="A11" s="5" t="s">
        <v>162</v>
      </c>
      <c r="B11" s="5"/>
      <c r="C11" s="5"/>
      <c r="D11" s="34" t="s">
        <v>85</v>
      </c>
      <c r="E11" s="34" t="s">
        <v>163</v>
      </c>
      <c r="F11" s="55" t="s">
        <v>155</v>
      </c>
      <c r="G11" s="54" t="n">
        <v>0.1</v>
      </c>
    </row>
    <row r="13" customFormat="false" ht="31.5" hidden="false" customHeight="true" outlineLevel="0" collapsed="false">
      <c r="A13" s="7" t="s">
        <v>164</v>
      </c>
      <c r="B13" s="7"/>
      <c r="C13" s="7"/>
      <c r="D13" s="7"/>
      <c r="E13" s="7"/>
      <c r="F13" s="7"/>
      <c r="G13" s="7"/>
    </row>
  </sheetData>
  <mergeCells count="11">
    <mergeCell ref="A1:H1"/>
    <mergeCell ref="A2:H2"/>
    <mergeCell ref="A3:H3"/>
    <mergeCell ref="A5:C5"/>
    <mergeCell ref="A6:C6"/>
    <mergeCell ref="A7:C7"/>
    <mergeCell ref="A8:C8"/>
    <mergeCell ref="A9:C9"/>
    <mergeCell ref="A10:C10"/>
    <mergeCell ref="A11:C11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0"/>
    <col collapsed="false" customWidth="true" hidden="false" outlineLevel="0" max="6" min="5" style="0" width="12"/>
    <col collapsed="false" customWidth="true" hidden="false" outlineLevel="0" max="7" min="7" style="0" width="10"/>
  </cols>
  <sheetData>
    <row r="1" customFormat="false" ht="18" hidden="false" customHeight="true" outlineLevel="0" collapsed="false">
      <c r="A1" s="56" t="s">
        <v>165</v>
      </c>
      <c r="B1" s="56"/>
      <c r="C1" s="56"/>
      <c r="D1" s="56"/>
      <c r="E1" s="56"/>
      <c r="F1" s="56"/>
      <c r="G1" s="56"/>
      <c r="H1" s="56"/>
    </row>
    <row r="2" customFormat="false" ht="24" hidden="false" customHeight="true" outlineLevel="0" collapsed="false">
      <c r="A2" s="57" t="s">
        <v>166</v>
      </c>
      <c r="B2" s="57"/>
      <c r="C2" s="57"/>
      <c r="D2" s="57"/>
      <c r="E2" s="57"/>
      <c r="F2" s="57"/>
      <c r="G2" s="57"/>
      <c r="H2" s="57"/>
    </row>
    <row r="3" customFormat="false" ht="15.75" hidden="false" customHeight="true" outlineLevel="0" collapsed="false">
      <c r="A3" s="3" t="s">
        <v>167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58" t="s">
        <v>168</v>
      </c>
    </row>
    <row r="6" customFormat="false" ht="15" hidden="false" customHeight="true" outlineLevel="0" collapsed="false">
      <c r="A6" s="59" t="s">
        <v>169</v>
      </c>
      <c r="B6" s="59"/>
      <c r="C6" s="59"/>
      <c r="D6" s="59" t="s">
        <v>170</v>
      </c>
      <c r="E6" s="59"/>
      <c r="F6" s="59" t="s">
        <v>171</v>
      </c>
      <c r="G6" s="59"/>
    </row>
    <row r="7" customFormat="false" ht="15" hidden="false" customHeight="true" outlineLevel="0" collapsed="false">
      <c r="A7" s="5" t="s">
        <v>150</v>
      </c>
      <c r="B7" s="5"/>
      <c r="C7" s="5"/>
      <c r="D7" s="33" t="s">
        <v>172</v>
      </c>
      <c r="E7" s="33"/>
      <c r="F7" s="55" t="s">
        <v>173</v>
      </c>
      <c r="G7" s="55"/>
    </row>
    <row r="8" customFormat="false" ht="15" hidden="false" customHeight="true" outlineLevel="0" collapsed="false">
      <c r="A8" s="5" t="s">
        <v>174</v>
      </c>
      <c r="B8" s="5"/>
      <c r="C8" s="5"/>
      <c r="D8" s="33" t="s">
        <v>172</v>
      </c>
      <c r="E8" s="33"/>
      <c r="F8" s="55" t="s">
        <v>173</v>
      </c>
      <c r="G8" s="55"/>
    </row>
    <row r="9" customFormat="false" ht="15" hidden="false" customHeight="true" outlineLevel="0" collapsed="false">
      <c r="A9" s="5" t="s">
        <v>175</v>
      </c>
      <c r="B9" s="5"/>
      <c r="C9" s="5"/>
      <c r="D9" s="33" t="s">
        <v>176</v>
      </c>
      <c r="E9" s="33"/>
      <c r="F9" s="53" t="s">
        <v>177</v>
      </c>
      <c r="G9" s="53"/>
    </row>
    <row r="10" customFormat="false" ht="15" hidden="false" customHeight="true" outlineLevel="0" collapsed="false">
      <c r="A10" s="5" t="s">
        <v>178</v>
      </c>
      <c r="B10" s="5"/>
      <c r="C10" s="5"/>
      <c r="D10" s="33" t="s">
        <v>179</v>
      </c>
      <c r="E10" s="33"/>
      <c r="F10" s="35" t="s">
        <v>180</v>
      </c>
      <c r="G10" s="35"/>
    </row>
    <row r="11" customFormat="false" ht="15" hidden="false" customHeight="true" outlineLevel="0" collapsed="false">
      <c r="A11" s="5" t="s">
        <v>181</v>
      </c>
      <c r="B11" s="5"/>
      <c r="C11" s="5"/>
      <c r="D11" s="33" t="s">
        <v>182</v>
      </c>
      <c r="E11" s="33"/>
      <c r="F11" s="28" t="s">
        <v>183</v>
      </c>
      <c r="G11" s="28"/>
    </row>
    <row r="13" customFormat="false" ht="15" hidden="false" customHeight="false" outlineLevel="0" collapsed="false">
      <c r="A13" s="58" t="s">
        <v>184</v>
      </c>
    </row>
    <row r="14" customFormat="false" ht="15" hidden="false" customHeight="true" outlineLevel="0" collapsed="false">
      <c r="A14" s="59" t="s">
        <v>185</v>
      </c>
      <c r="B14" s="59"/>
      <c r="C14" s="59"/>
      <c r="D14" s="59"/>
      <c r="E14" s="59" t="s">
        <v>186</v>
      </c>
      <c r="F14" s="59"/>
      <c r="G14" s="59"/>
    </row>
    <row r="15" customFormat="false" ht="15" hidden="false" customHeight="true" outlineLevel="0" collapsed="false">
      <c r="A15" s="6" t="s">
        <v>187</v>
      </c>
      <c r="B15" s="6"/>
      <c r="C15" s="6"/>
      <c r="D15" s="6"/>
      <c r="E15" s="60" t="n">
        <v>0.45</v>
      </c>
      <c r="F15" s="60"/>
      <c r="G15" s="60"/>
    </row>
    <row r="16" customFormat="false" ht="15" hidden="false" customHeight="true" outlineLevel="0" collapsed="false">
      <c r="A16" s="6" t="s">
        <v>188</v>
      </c>
      <c r="B16" s="6"/>
      <c r="C16" s="6"/>
      <c r="D16" s="6"/>
      <c r="E16" s="60" t="n">
        <v>0.4</v>
      </c>
      <c r="F16" s="60"/>
      <c r="G16" s="60"/>
    </row>
    <row r="17" customFormat="false" ht="15" hidden="false" customHeight="true" outlineLevel="0" collapsed="false">
      <c r="A17" s="6" t="s">
        <v>189</v>
      </c>
      <c r="B17" s="6"/>
      <c r="C17" s="6"/>
      <c r="D17" s="6"/>
      <c r="E17" s="61" t="n">
        <v>0.3</v>
      </c>
      <c r="F17" s="61"/>
      <c r="G17" s="61"/>
    </row>
    <row r="18" customFormat="false" ht="15" hidden="false" customHeight="true" outlineLevel="0" collapsed="false">
      <c r="A18" s="6" t="s">
        <v>190</v>
      </c>
      <c r="B18" s="6"/>
      <c r="C18" s="6"/>
      <c r="D18" s="6"/>
      <c r="E18" s="62" t="n">
        <v>0.55</v>
      </c>
      <c r="F18" s="62"/>
      <c r="G18" s="62"/>
    </row>
    <row r="19" customFormat="false" ht="15" hidden="false" customHeight="true" outlineLevel="0" collapsed="false">
      <c r="A19" s="6" t="s">
        <v>191</v>
      </c>
      <c r="B19" s="6"/>
      <c r="C19" s="6"/>
      <c r="D19" s="6"/>
      <c r="E19" s="60" t="n">
        <v>0.5</v>
      </c>
      <c r="F19" s="60"/>
      <c r="G19" s="60"/>
    </row>
    <row r="21" customFormat="false" ht="15" hidden="false" customHeight="false" outlineLevel="0" collapsed="false">
      <c r="A21" s="58" t="s">
        <v>192</v>
      </c>
    </row>
    <row r="22" customFormat="false" ht="15" hidden="false" customHeight="true" outlineLevel="0" collapsed="false">
      <c r="A22" s="59" t="s">
        <v>193</v>
      </c>
      <c r="B22" s="59"/>
      <c r="C22" s="59"/>
      <c r="D22" s="59"/>
      <c r="E22" s="59" t="s">
        <v>194</v>
      </c>
      <c r="F22" s="59" t="s">
        <v>74</v>
      </c>
    </row>
    <row r="23" customFormat="false" ht="15" hidden="false" customHeight="true" outlineLevel="0" collapsed="false">
      <c r="A23" s="6" t="s">
        <v>195</v>
      </c>
      <c r="B23" s="6"/>
      <c r="C23" s="6"/>
      <c r="D23" s="6"/>
      <c r="E23" s="27" t="s">
        <v>196</v>
      </c>
      <c r="F23" s="63" t="s">
        <v>197</v>
      </c>
    </row>
    <row r="24" customFormat="false" ht="15" hidden="false" customHeight="true" outlineLevel="0" collapsed="false">
      <c r="A24" s="6" t="s">
        <v>198</v>
      </c>
      <c r="B24" s="6"/>
      <c r="C24" s="6"/>
      <c r="D24" s="6"/>
      <c r="E24" s="27" t="s">
        <v>196</v>
      </c>
      <c r="F24" s="63" t="s">
        <v>199</v>
      </c>
    </row>
    <row r="25" customFormat="false" ht="15" hidden="false" customHeight="true" outlineLevel="0" collapsed="false">
      <c r="A25" s="6" t="s">
        <v>200</v>
      </c>
      <c r="B25" s="6"/>
      <c r="C25" s="6"/>
      <c r="D25" s="6"/>
      <c r="E25" s="27" t="s">
        <v>201</v>
      </c>
      <c r="F25" s="63" t="s">
        <v>202</v>
      </c>
    </row>
    <row r="26" customFormat="false" ht="15" hidden="false" customHeight="true" outlineLevel="0" collapsed="false">
      <c r="A26" s="6" t="s">
        <v>203</v>
      </c>
      <c r="B26" s="6"/>
      <c r="C26" s="6"/>
      <c r="D26" s="6"/>
      <c r="E26" s="27" t="s">
        <v>204</v>
      </c>
      <c r="F26" s="63" t="s">
        <v>205</v>
      </c>
    </row>
  </sheetData>
  <mergeCells count="38">
    <mergeCell ref="A1:H1"/>
    <mergeCell ref="A2:H2"/>
    <mergeCell ref="A3:H3"/>
    <mergeCell ref="A6:C6"/>
    <mergeCell ref="D6:E6"/>
    <mergeCell ref="F6:G6"/>
    <mergeCell ref="A7:C7"/>
    <mergeCell ref="D7:E7"/>
    <mergeCell ref="F7:G7"/>
    <mergeCell ref="A8:C8"/>
    <mergeCell ref="D8:E8"/>
    <mergeCell ref="F8:G8"/>
    <mergeCell ref="A9:C9"/>
    <mergeCell ref="D9:E9"/>
    <mergeCell ref="F9:G9"/>
    <mergeCell ref="A10:C10"/>
    <mergeCell ref="D10:E10"/>
    <mergeCell ref="F10:G10"/>
    <mergeCell ref="A11:C11"/>
    <mergeCell ref="D11:E11"/>
    <mergeCell ref="F11:G11"/>
    <mergeCell ref="A14:D14"/>
    <mergeCell ref="E14:G14"/>
    <mergeCell ref="A15:D15"/>
    <mergeCell ref="E15:G15"/>
    <mergeCell ref="A16:D16"/>
    <mergeCell ref="E16:G16"/>
    <mergeCell ref="A17:D17"/>
    <mergeCell ref="E17:G17"/>
    <mergeCell ref="A18:D18"/>
    <mergeCell ref="E18:G18"/>
    <mergeCell ref="A19:D19"/>
    <mergeCell ref="E19:G19"/>
    <mergeCell ref="A22:D22"/>
    <mergeCell ref="A23:D23"/>
    <mergeCell ref="A24:D24"/>
    <mergeCell ref="A25:D25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7"/>
    <col collapsed="false" customWidth="true" hidden="false" outlineLevel="0" max="3" min="3" style="0" width="88"/>
    <col collapsed="false" customWidth="true" hidden="false" outlineLevel="0" max="4" min="4" style="0" width="7"/>
  </cols>
  <sheetData>
    <row r="1" customFormat="false" ht="18" hidden="false" customHeight="true" outlineLevel="0" collapsed="false">
      <c r="A1" s="64" t="s">
        <v>206</v>
      </c>
      <c r="B1" s="64"/>
      <c r="C1" s="64"/>
      <c r="D1" s="64"/>
      <c r="E1" s="64"/>
      <c r="F1" s="64"/>
      <c r="G1" s="64"/>
      <c r="H1" s="64"/>
    </row>
    <row r="2" customFormat="false" ht="24" hidden="false" customHeight="true" outlineLevel="0" collapsed="false">
      <c r="A2" s="65" t="s">
        <v>207</v>
      </c>
      <c r="B2" s="65"/>
      <c r="C2" s="65"/>
      <c r="D2" s="65"/>
      <c r="E2" s="65"/>
      <c r="F2" s="65"/>
      <c r="G2" s="65"/>
      <c r="H2" s="65"/>
    </row>
    <row r="3" customFormat="false" ht="15.75" hidden="false" customHeight="true" outlineLevel="0" collapsed="false">
      <c r="A3" s="3" t="s">
        <v>208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10" t="s">
        <v>23</v>
      </c>
      <c r="B5" s="10" t="s">
        <v>24</v>
      </c>
      <c r="C5" s="10" t="s">
        <v>209</v>
      </c>
      <c r="D5" s="10" t="s">
        <v>26</v>
      </c>
    </row>
    <row r="6" customFormat="false" ht="36" hidden="false" customHeight="true" outlineLevel="0" collapsed="false">
      <c r="A6" s="17" t="s">
        <v>210</v>
      </c>
      <c r="B6" s="18" t="s">
        <v>211</v>
      </c>
      <c r="C6" s="13" t="s">
        <v>212</v>
      </c>
      <c r="D6" s="14" t="n">
        <v>5</v>
      </c>
    </row>
    <row r="7" customFormat="false" ht="36" hidden="false" customHeight="true" outlineLevel="0" collapsed="false">
      <c r="A7" s="17"/>
      <c r="B7" s="18" t="s">
        <v>213</v>
      </c>
      <c r="C7" s="13" t="s">
        <v>214</v>
      </c>
      <c r="D7" s="14" t="n">
        <v>5</v>
      </c>
    </row>
    <row r="8" customFormat="false" ht="36" hidden="false" customHeight="true" outlineLevel="0" collapsed="false">
      <c r="A8" s="17"/>
      <c r="B8" s="18" t="s">
        <v>215</v>
      </c>
      <c r="C8" s="13" t="s">
        <v>216</v>
      </c>
      <c r="D8" s="14" t="n">
        <v>5</v>
      </c>
    </row>
    <row r="9" customFormat="false" ht="30" hidden="false" customHeight="true" outlineLevel="0" collapsed="false">
      <c r="A9" s="66" t="s">
        <v>217</v>
      </c>
      <c r="B9" s="67" t="s">
        <v>218</v>
      </c>
      <c r="C9" s="13" t="s">
        <v>219</v>
      </c>
      <c r="D9" s="14" t="n">
        <v>4</v>
      </c>
    </row>
    <row r="10" customFormat="false" ht="36" hidden="false" customHeight="true" outlineLevel="0" collapsed="false">
      <c r="A10" s="19" t="s">
        <v>220</v>
      </c>
      <c r="B10" s="20" t="s">
        <v>221</v>
      </c>
      <c r="C10" s="13" t="s">
        <v>222</v>
      </c>
      <c r="D10" s="14" t="n">
        <v>5</v>
      </c>
    </row>
    <row r="11" customFormat="false" ht="30" hidden="false" customHeight="true" outlineLevel="0" collapsed="false">
      <c r="A11" s="19"/>
      <c r="B11" s="20" t="s">
        <v>223</v>
      </c>
      <c r="C11" s="13" t="s">
        <v>224</v>
      </c>
      <c r="D11" s="14" t="n">
        <v>3</v>
      </c>
    </row>
    <row r="12" customFormat="false" ht="30" hidden="false" customHeight="true" outlineLevel="0" collapsed="false">
      <c r="A12" s="19"/>
      <c r="B12" s="20" t="s">
        <v>225</v>
      </c>
      <c r="C12" s="13" t="s">
        <v>226</v>
      </c>
      <c r="D12" s="14" t="n">
        <v>4</v>
      </c>
    </row>
    <row r="13" customFormat="false" ht="30" hidden="false" customHeight="true" outlineLevel="0" collapsed="false">
      <c r="A13" s="68" t="s">
        <v>227</v>
      </c>
      <c r="B13" s="69" t="s">
        <v>228</v>
      </c>
      <c r="C13" s="13" t="s">
        <v>229</v>
      </c>
      <c r="D13" s="14" t="n">
        <v>4</v>
      </c>
    </row>
    <row r="14" customFormat="false" ht="30" hidden="false" customHeight="true" outlineLevel="0" collapsed="false">
      <c r="A14" s="68"/>
      <c r="B14" s="69" t="s">
        <v>230</v>
      </c>
      <c r="C14" s="13" t="s">
        <v>231</v>
      </c>
      <c r="D14" s="14" t="n">
        <v>4</v>
      </c>
    </row>
    <row r="15" customFormat="false" ht="30" hidden="false" customHeight="true" outlineLevel="0" collapsed="false">
      <c r="A15" s="70" t="s">
        <v>232</v>
      </c>
      <c r="B15" s="71" t="s">
        <v>233</v>
      </c>
      <c r="C15" s="13" t="s">
        <v>234</v>
      </c>
      <c r="D15" s="14" t="n">
        <v>4</v>
      </c>
    </row>
    <row r="16" customFormat="false" ht="30" hidden="false" customHeight="true" outlineLevel="0" collapsed="false">
      <c r="A16" s="70"/>
      <c r="B16" s="71" t="s">
        <v>235</v>
      </c>
      <c r="C16" s="13" t="s">
        <v>236</v>
      </c>
      <c r="D16" s="14" t="n">
        <v>4</v>
      </c>
    </row>
  </sheetData>
  <mergeCells count="7">
    <mergeCell ref="A1:H1"/>
    <mergeCell ref="A2:H2"/>
    <mergeCell ref="A3:H3"/>
    <mergeCell ref="A6:A8"/>
    <mergeCell ref="A10:A12"/>
    <mergeCell ref="A13:A14"/>
    <mergeCell ref="A15:A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7"/>
    <col collapsed="false" customWidth="true" hidden="false" outlineLevel="0" max="8" min="4" style="0" width="11"/>
    <col collapsed="false" customWidth="true" hidden="true" outlineLevel="0" max="12" min="10" style="0" width="13"/>
  </cols>
  <sheetData>
    <row r="1" customFormat="false" ht="18" hidden="false" customHeight="true" outlineLevel="0" collapsed="false">
      <c r="A1" s="64" t="s">
        <v>237</v>
      </c>
      <c r="B1" s="64"/>
      <c r="C1" s="64"/>
      <c r="D1" s="64"/>
      <c r="E1" s="64"/>
      <c r="F1" s="64"/>
      <c r="G1" s="64"/>
      <c r="H1" s="64"/>
    </row>
    <row r="2" customFormat="false" ht="24" hidden="false" customHeight="true" outlineLevel="0" collapsed="false">
      <c r="A2" s="65" t="s">
        <v>238</v>
      </c>
      <c r="B2" s="65"/>
      <c r="C2" s="65"/>
      <c r="D2" s="65"/>
      <c r="E2" s="65"/>
      <c r="F2" s="65"/>
      <c r="G2" s="65"/>
      <c r="H2" s="65"/>
    </row>
    <row r="3" customFormat="false" ht="15.75" hidden="false" customHeight="true" outlineLevel="0" collapsed="false">
      <c r="A3" s="3" t="s">
        <v>239</v>
      </c>
      <c r="B3" s="3"/>
      <c r="C3" s="3"/>
      <c r="D3" s="3"/>
      <c r="E3" s="3"/>
      <c r="F3" s="3"/>
      <c r="G3" s="3"/>
      <c r="H3" s="3"/>
    </row>
    <row r="5" customFormat="false" ht="23.85" hidden="false" customHeight="false" outlineLevel="0" collapsed="false">
      <c r="A5" s="72" t="s">
        <v>65</v>
      </c>
      <c r="B5" s="72" t="s">
        <v>240</v>
      </c>
      <c r="C5" s="72" t="s">
        <v>241</v>
      </c>
      <c r="D5" s="72" t="s">
        <v>242</v>
      </c>
      <c r="E5" s="72" t="s">
        <v>243</v>
      </c>
      <c r="F5" s="72" t="s">
        <v>71</v>
      </c>
      <c r="G5" s="72" t="s">
        <v>244</v>
      </c>
      <c r="H5" s="72" t="s">
        <v>73</v>
      </c>
      <c r="J5" s="73" t="s">
        <v>240</v>
      </c>
      <c r="K5" s="73" t="s">
        <v>74</v>
      </c>
      <c r="L5" s="73" t="s">
        <v>70</v>
      </c>
    </row>
    <row r="6" customFormat="false" ht="15" hidden="false" customHeight="false" outlineLevel="0" collapsed="false">
      <c r="A6" s="34" t="n">
        <v>1</v>
      </c>
      <c r="B6" s="33" t="s">
        <v>245</v>
      </c>
      <c r="C6" s="33" t="s">
        <v>210</v>
      </c>
      <c r="D6" s="34" t="n">
        <v>2</v>
      </c>
      <c r="E6" s="34" t="n">
        <f aca="false">D6/4*100</f>
        <v>50</v>
      </c>
      <c r="F6" s="34" t="n">
        <v>1</v>
      </c>
      <c r="G6" s="34" t="n">
        <f aca="false">E6*F6</f>
        <v>50</v>
      </c>
      <c r="H6" s="35" t="s">
        <v>118</v>
      </c>
      <c r="J6" s="29" t="s">
        <v>246</v>
      </c>
      <c r="K6" s="29" t="n">
        <f aca="false">D6</f>
        <v>2</v>
      </c>
      <c r="L6" s="29" t="n">
        <v>3</v>
      </c>
    </row>
    <row r="7" customFormat="false" ht="15" hidden="false" customHeight="false" outlineLevel="0" collapsed="false">
      <c r="A7" s="34" t="n">
        <v>2</v>
      </c>
      <c r="B7" s="33" t="s">
        <v>247</v>
      </c>
      <c r="C7" s="33" t="s">
        <v>220</v>
      </c>
      <c r="D7" s="34" t="n">
        <v>2</v>
      </c>
      <c r="E7" s="34" t="n">
        <f aca="false">D7/4*100</f>
        <v>50</v>
      </c>
      <c r="F7" s="34" t="n">
        <v>1.5</v>
      </c>
      <c r="G7" s="34" t="n">
        <f aca="false">E7*F7</f>
        <v>75</v>
      </c>
      <c r="H7" s="35" t="s">
        <v>118</v>
      </c>
      <c r="J7" s="29" t="s">
        <v>248</v>
      </c>
      <c r="K7" s="29" t="n">
        <f aca="false">D7</f>
        <v>2</v>
      </c>
      <c r="L7" s="29" t="n">
        <v>3</v>
      </c>
    </row>
    <row r="8" customFormat="false" ht="23.85" hidden="false" customHeight="false" outlineLevel="0" collapsed="false">
      <c r="A8" s="34" t="n">
        <v>3</v>
      </c>
      <c r="B8" s="33" t="s">
        <v>249</v>
      </c>
      <c r="C8" s="33" t="s">
        <v>232</v>
      </c>
      <c r="D8" s="34" t="n">
        <v>2</v>
      </c>
      <c r="E8" s="34" t="n">
        <f aca="false">D8/4*100</f>
        <v>50</v>
      </c>
      <c r="F8" s="34" t="n">
        <v>1</v>
      </c>
      <c r="G8" s="34" t="n">
        <f aca="false">E8*F8</f>
        <v>50</v>
      </c>
      <c r="H8" s="35" t="s">
        <v>118</v>
      </c>
      <c r="J8" s="29" t="s">
        <v>250</v>
      </c>
      <c r="K8" s="29" t="n">
        <f aca="false">D8</f>
        <v>2</v>
      </c>
      <c r="L8" s="29" t="n">
        <v>3</v>
      </c>
    </row>
    <row r="9" customFormat="false" ht="15" hidden="false" customHeight="false" outlineLevel="0" collapsed="false">
      <c r="A9" s="34" t="n">
        <v>4</v>
      </c>
      <c r="B9" s="33" t="s">
        <v>251</v>
      </c>
      <c r="C9" s="33" t="s">
        <v>217</v>
      </c>
      <c r="D9" s="34" t="n">
        <v>3</v>
      </c>
      <c r="E9" s="34" t="n">
        <f aca="false">D9/4*100</f>
        <v>75</v>
      </c>
      <c r="F9" s="34" t="n">
        <v>1.5</v>
      </c>
      <c r="G9" s="34" t="n">
        <f aca="false">E9*F9</f>
        <v>112.5</v>
      </c>
      <c r="H9" s="55" t="s">
        <v>252</v>
      </c>
      <c r="J9" s="29" t="s">
        <v>253</v>
      </c>
      <c r="K9" s="29" t="n">
        <f aca="false">D9</f>
        <v>3</v>
      </c>
      <c r="L9" s="29" t="n">
        <v>3</v>
      </c>
    </row>
    <row r="10" customFormat="false" ht="15" hidden="false" customHeight="false" outlineLevel="0" collapsed="false">
      <c r="A10" s="34" t="n">
        <v>5</v>
      </c>
      <c r="B10" s="33" t="s">
        <v>254</v>
      </c>
      <c r="C10" s="33" t="s">
        <v>210</v>
      </c>
      <c r="D10" s="34" t="n">
        <v>2</v>
      </c>
      <c r="E10" s="34" t="n">
        <f aca="false">D10/4*100</f>
        <v>50</v>
      </c>
      <c r="F10" s="34" t="n">
        <v>1.5</v>
      </c>
      <c r="G10" s="34" t="n">
        <f aca="false">E10*F10</f>
        <v>75</v>
      </c>
      <c r="H10" s="35" t="s">
        <v>118</v>
      </c>
      <c r="J10" s="29" t="s">
        <v>255</v>
      </c>
      <c r="K10" s="29" t="n">
        <f aca="false">D10</f>
        <v>2</v>
      </c>
      <c r="L10" s="29" t="n">
        <v>3</v>
      </c>
    </row>
    <row r="11" customFormat="false" ht="15" hidden="false" customHeight="false" outlineLevel="0" collapsed="false">
      <c r="A11" s="34" t="n">
        <v>6</v>
      </c>
      <c r="B11" s="33" t="s">
        <v>256</v>
      </c>
      <c r="C11" s="33" t="s">
        <v>210</v>
      </c>
      <c r="D11" s="34" t="n">
        <v>1</v>
      </c>
      <c r="E11" s="34" t="n">
        <f aca="false">D11/4*100</f>
        <v>25</v>
      </c>
      <c r="F11" s="34" t="n">
        <v>1.5</v>
      </c>
      <c r="G11" s="34" t="n">
        <f aca="false">E11*F11</f>
        <v>37.5</v>
      </c>
      <c r="H11" s="28" t="s">
        <v>76</v>
      </c>
      <c r="J11" s="29" t="s">
        <v>257</v>
      </c>
      <c r="K11" s="29" t="n">
        <f aca="false">D11</f>
        <v>1</v>
      </c>
      <c r="L11" s="29" t="n">
        <v>3</v>
      </c>
    </row>
    <row r="12" customFormat="false" ht="15" hidden="false" customHeight="false" outlineLevel="0" collapsed="false">
      <c r="A12" s="34" t="n">
        <v>7</v>
      </c>
      <c r="B12" s="33" t="s">
        <v>258</v>
      </c>
      <c r="C12" s="33" t="s">
        <v>227</v>
      </c>
      <c r="D12" s="34" t="n">
        <v>2</v>
      </c>
      <c r="E12" s="34" t="n">
        <f aca="false">D12/4*100</f>
        <v>50</v>
      </c>
      <c r="F12" s="34" t="n">
        <v>1</v>
      </c>
      <c r="G12" s="34" t="n">
        <f aca="false">E12*F12</f>
        <v>50</v>
      </c>
      <c r="H12" s="35" t="s">
        <v>118</v>
      </c>
      <c r="J12" s="29" t="s">
        <v>259</v>
      </c>
      <c r="K12" s="29" t="n">
        <f aca="false">D12</f>
        <v>2</v>
      </c>
      <c r="L12" s="29" t="n">
        <v>3</v>
      </c>
    </row>
    <row r="13" customFormat="false" ht="15" hidden="false" customHeight="false" outlineLevel="0" collapsed="false">
      <c r="A13" s="34" t="n">
        <v>8</v>
      </c>
      <c r="B13" s="33" t="s">
        <v>260</v>
      </c>
      <c r="C13" s="33" t="s">
        <v>227</v>
      </c>
      <c r="D13" s="34" t="n">
        <v>2</v>
      </c>
      <c r="E13" s="34" t="n">
        <f aca="false">D13/4*100</f>
        <v>50</v>
      </c>
      <c r="F13" s="34" t="n">
        <v>1.5</v>
      </c>
      <c r="G13" s="34" t="n">
        <f aca="false">E13*F13</f>
        <v>75</v>
      </c>
      <c r="H13" s="35" t="s">
        <v>118</v>
      </c>
      <c r="J13" s="29" t="s">
        <v>261</v>
      </c>
      <c r="K13" s="29" t="n">
        <f aca="false">D13</f>
        <v>2</v>
      </c>
      <c r="L13" s="29" t="n">
        <v>3</v>
      </c>
    </row>
    <row r="14" customFormat="false" ht="23.85" hidden="false" customHeight="false" outlineLevel="0" collapsed="false">
      <c r="A14" s="34" t="n">
        <v>9</v>
      </c>
      <c r="B14" s="33" t="s">
        <v>262</v>
      </c>
      <c r="C14" s="33" t="s">
        <v>232</v>
      </c>
      <c r="D14" s="34" t="n">
        <v>2</v>
      </c>
      <c r="E14" s="34" t="n">
        <f aca="false">D14/4*100</f>
        <v>50</v>
      </c>
      <c r="F14" s="34" t="n">
        <v>1</v>
      </c>
      <c r="G14" s="34" t="n">
        <f aca="false">E14*F14</f>
        <v>50</v>
      </c>
      <c r="H14" s="35" t="s">
        <v>118</v>
      </c>
      <c r="J14" s="29" t="s">
        <v>263</v>
      </c>
      <c r="K14" s="29" t="n">
        <f aca="false">D14</f>
        <v>2</v>
      </c>
      <c r="L14" s="29" t="n">
        <v>3</v>
      </c>
    </row>
    <row r="15" customFormat="false" ht="15" hidden="false" customHeight="false" outlineLevel="0" collapsed="false">
      <c r="A15" s="34" t="n">
        <v>10</v>
      </c>
      <c r="B15" s="33" t="s">
        <v>264</v>
      </c>
      <c r="C15" s="33" t="s">
        <v>220</v>
      </c>
      <c r="D15" s="34" t="n">
        <v>2</v>
      </c>
      <c r="E15" s="34" t="n">
        <f aca="false">D15/4*100</f>
        <v>50</v>
      </c>
      <c r="F15" s="34" t="n">
        <v>1</v>
      </c>
      <c r="G15" s="34" t="n">
        <f aca="false">E15*F15</f>
        <v>50</v>
      </c>
      <c r="H15" s="35" t="s">
        <v>118</v>
      </c>
      <c r="J15" s="29" t="s">
        <v>265</v>
      </c>
      <c r="K15" s="29" t="n">
        <f aca="false">D15</f>
        <v>2</v>
      </c>
      <c r="L15" s="29" t="n">
        <v>3</v>
      </c>
    </row>
    <row r="16" customFormat="false" ht="23.85" hidden="false" customHeight="false" outlineLevel="0" collapsed="false">
      <c r="A16" s="34" t="n">
        <v>11</v>
      </c>
      <c r="B16" s="74" t="s">
        <v>266</v>
      </c>
      <c r="C16" s="33" t="s">
        <v>220</v>
      </c>
      <c r="D16" s="34" t="n">
        <v>1</v>
      </c>
      <c r="E16" s="34" t="n">
        <f aca="false">D16/4*100</f>
        <v>25</v>
      </c>
      <c r="F16" s="34" t="n">
        <v>2</v>
      </c>
      <c r="G16" s="34" t="n">
        <f aca="false">E16*F16</f>
        <v>50</v>
      </c>
      <c r="H16" s="28" t="s">
        <v>76</v>
      </c>
      <c r="J16" s="29" t="s">
        <v>267</v>
      </c>
      <c r="K16" s="29" t="n">
        <f aca="false">D16</f>
        <v>1</v>
      </c>
      <c r="L16" s="29" t="n">
        <v>3</v>
      </c>
    </row>
    <row r="17" customFormat="false" ht="15" hidden="false" customHeight="false" outlineLevel="0" collapsed="false">
      <c r="B17" s="75" t="s">
        <v>268</v>
      </c>
      <c r="G17" s="31" t="n">
        <f aca="false">SUMPRODUCT(E6:E16,F6:F16)/SUM(F6:F16)</f>
        <v>46.551724137931</v>
      </c>
      <c r="H17" s="28" t="s">
        <v>76</v>
      </c>
    </row>
    <row r="42" customFormat="false" ht="15" hidden="false" customHeight="false" outlineLevel="0" collapsed="false">
      <c r="B42" s="76" t="s">
        <v>269</v>
      </c>
    </row>
    <row r="43" customFormat="false" ht="15" hidden="false" customHeight="true" outlineLevel="0" collapsed="false">
      <c r="B43" s="72" t="s">
        <v>241</v>
      </c>
      <c r="C43" s="72"/>
      <c r="D43" s="72" t="s">
        <v>270</v>
      </c>
      <c r="E43" s="72" t="s">
        <v>271</v>
      </c>
      <c r="F43" s="72" t="s">
        <v>272</v>
      </c>
      <c r="G43" s="72"/>
      <c r="H43" s="72" t="s">
        <v>73</v>
      </c>
    </row>
    <row r="44" customFormat="false" ht="15" hidden="false" customHeight="true" outlineLevel="0" collapsed="false">
      <c r="B44" s="5" t="s">
        <v>210</v>
      </c>
      <c r="C44" s="5"/>
      <c r="D44" s="34" t="s">
        <v>273</v>
      </c>
      <c r="E44" s="34" t="n">
        <v>41.7</v>
      </c>
      <c r="F44" s="34" t="s">
        <v>274</v>
      </c>
      <c r="G44" s="34"/>
      <c r="H44" s="28" t="s">
        <v>76</v>
      </c>
    </row>
    <row r="45" customFormat="false" ht="15" hidden="false" customHeight="true" outlineLevel="0" collapsed="false">
      <c r="B45" s="5" t="s">
        <v>217</v>
      </c>
      <c r="C45" s="5"/>
      <c r="D45" s="34" t="s">
        <v>275</v>
      </c>
      <c r="E45" s="34" t="n">
        <v>75</v>
      </c>
      <c r="F45" s="34" t="s">
        <v>112</v>
      </c>
      <c r="G45" s="34"/>
      <c r="H45" s="55" t="s">
        <v>252</v>
      </c>
    </row>
    <row r="46" customFormat="false" ht="15" hidden="false" customHeight="true" outlineLevel="0" collapsed="false">
      <c r="B46" s="5" t="s">
        <v>220</v>
      </c>
      <c r="C46" s="5"/>
      <c r="D46" s="34" t="s">
        <v>276</v>
      </c>
      <c r="E46" s="34" t="n">
        <v>41.7</v>
      </c>
      <c r="F46" s="34" t="s">
        <v>277</v>
      </c>
      <c r="G46" s="34"/>
      <c r="H46" s="28" t="s">
        <v>76</v>
      </c>
    </row>
    <row r="47" customFormat="false" ht="15" hidden="false" customHeight="true" outlineLevel="0" collapsed="false">
      <c r="B47" s="5" t="s">
        <v>227</v>
      </c>
      <c r="C47" s="5"/>
      <c r="D47" s="34" t="s">
        <v>278</v>
      </c>
      <c r="E47" s="34" t="n">
        <v>50</v>
      </c>
      <c r="F47" s="34" t="s">
        <v>112</v>
      </c>
      <c r="G47" s="34"/>
      <c r="H47" s="35" t="s">
        <v>118</v>
      </c>
    </row>
    <row r="48" customFormat="false" ht="15" hidden="false" customHeight="true" outlineLevel="0" collapsed="false">
      <c r="B48" s="5" t="s">
        <v>232</v>
      </c>
      <c r="C48" s="5"/>
      <c r="D48" s="34" t="s">
        <v>279</v>
      </c>
      <c r="E48" s="34" t="n">
        <v>50</v>
      </c>
      <c r="F48" s="34" t="s">
        <v>112</v>
      </c>
      <c r="G48" s="34"/>
      <c r="H48" s="35" t="s">
        <v>118</v>
      </c>
    </row>
    <row r="50" customFormat="false" ht="31.5" hidden="false" customHeight="true" outlineLevel="0" collapsed="false">
      <c r="B50" s="49" t="s">
        <v>280</v>
      </c>
      <c r="C50" s="49"/>
      <c r="D50" s="49"/>
      <c r="E50" s="49"/>
      <c r="F50" s="49"/>
      <c r="G50" s="49"/>
      <c r="H50" s="49"/>
    </row>
  </sheetData>
  <mergeCells count="16">
    <mergeCell ref="A1:H1"/>
    <mergeCell ref="A2:H2"/>
    <mergeCell ref="A3:H3"/>
    <mergeCell ref="B43:C43"/>
    <mergeCell ref="F43:G43"/>
    <mergeCell ref="B44:C44"/>
    <mergeCell ref="F44:G44"/>
    <mergeCell ref="B45:C45"/>
    <mergeCell ref="F45:G45"/>
    <mergeCell ref="B46:C46"/>
    <mergeCell ref="F46:G46"/>
    <mergeCell ref="B47:C47"/>
    <mergeCell ref="F47:G47"/>
    <mergeCell ref="B48:C48"/>
    <mergeCell ref="F48:G48"/>
    <mergeCell ref="B50:H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2026-07-21T05:31:24Z</dcterms:created>
  <dc:creator>openpyxl</dc:creator>
  <dc:description/>
  <dc:language>en-US</dc:language>
  <cp:lastModifiedBy/>
  <dcterms:modified xsi:type="dcterms:W3CDTF">2026-07-21T05:31:27Z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